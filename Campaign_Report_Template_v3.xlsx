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Executive Summary" sheetId="4" state="visible" r:id="rId4"/>
    <sheet xmlns:r="http://schemas.openxmlformats.org/officeDocument/2006/relationships" name="Segment Performance" sheetId="5" state="visible" r:id="rId5"/>
    <sheet xmlns:r="http://schemas.openxmlformats.org/officeDocument/2006/relationships" name="Performance Trends" sheetId="6" state="visible" r:id="rId6"/>
    <sheet xmlns:r="http://schemas.openxmlformats.org/officeDocument/2006/relationships" name="Monthly Analysis" sheetId="7" state="visible" r:id="rId7"/>
    <sheet xmlns:r="http://schemas.openxmlformats.org/officeDocument/2006/relationships" name="Weekly Analysis" sheetId="8" state="visible" r:id="rId8"/>
    <sheet xmlns:r="http://schemas.openxmlformats.org/officeDocument/2006/relationships" name="Organic vs Paid" sheetId="9" state="visible" r:id="rId9"/>
    <sheet xmlns:r="http://schemas.openxmlformats.org/officeDocument/2006/relationships" name="JN Portfolio" sheetId="10" state="visible" r:id="rId10"/>
    <sheet xmlns:r="http://schemas.openxmlformats.org/officeDocument/2006/relationships" name="Non-JN Portfolio" sheetId="11" state="visible" r:id="rId11"/>
    <sheet xmlns:r="http://schemas.openxmlformats.org/officeDocument/2006/relationships" name="Pivot - Portfolio" sheetId="12" state="visible" r:id="rId12"/>
    <sheet xmlns:r="http://schemas.openxmlformats.org/officeDocument/2006/relationships" name="Pivot - Segment" sheetId="13" state="visible" r:id="rId13"/>
    <sheet xmlns:r="http://schemas.openxmlformats.org/officeDocument/2006/relationships" name="Campaign Data" sheetId="14" state="visible" r:id="rId14"/>
    <sheet xmlns:r="http://schemas.openxmlformats.org/officeDocument/2006/relationships" name="Business Da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YYYY-MM-DD"/>
    <numFmt numFmtId="166" formatCode="YYYY-MM-DD HH:MM"/>
    <numFmt numFmtId="167" formatCode="MMM D, YYYY"/>
    <numFmt numFmtId="168" formatCode="$#,##0"/>
    <numFmt numFmtId="169" formatCode="0.0%"/>
    <numFmt numFmtId="170" formatCode="0.00&quot;x&quot;"/>
  </numFmts>
  <fonts count="37">
    <font>
      <name val="Calibri"/>
      <family val="2"/>
      <color theme="1"/>
      <sz val="11"/>
      <scheme val="minor"/>
    </font>
    <font>
      <b val="1"/>
      <color rgb="001E3A5F"/>
      <sz val="20"/>
    </font>
    <font>
      <color rgb="006B7280"/>
      <sz val="12"/>
    </font>
    <font>
      <b val="1"/>
      <color rgb="001E3A5F"/>
      <sz val="14"/>
    </font>
    <font>
      <sz val="11"/>
    </font>
    <font>
      <b val="1"/>
      <color rgb="00FFFFFF"/>
      <sz val="11"/>
    </font>
    <font>
      <b val="1"/>
    </font>
    <font>
      <i val="1"/>
      <color rgb="006B7280"/>
    </font>
    <font>
      <b val="1"/>
      <color rgb="001E3A5F"/>
      <sz val="16"/>
    </font>
    <font>
      <b val="1"/>
      <color rgb="001E3A5F"/>
      <sz val="12"/>
    </font>
    <font>
      <b val="1"/>
      <sz val="12"/>
    </font>
    <font>
      <b val="1"/>
      <color rgb="001E3A5F"/>
      <sz val="24"/>
    </font>
    <font>
      <color rgb="006B7280"/>
      <sz val="14"/>
    </font>
    <font>
      <b val="1"/>
      <sz val="14"/>
    </font>
    <font>
      <b val="1"/>
      <color rgb="00FFFFFF"/>
      <sz val="14"/>
    </font>
    <font>
      <color rgb="00FFFFFF"/>
      <sz val="12"/>
    </font>
    <font>
      <b val="1"/>
      <color rgb="00FFFFFF"/>
      <sz val="36"/>
    </font>
    <font>
      <color rgb="006B7280"/>
      <sz val="9"/>
    </font>
    <font>
      <b val="1"/>
      <color rgb="001F2937"/>
      <sz val="24"/>
    </font>
    <font>
      <b val="1"/>
      <color rgb="00FFFFFF"/>
      <sz val="12"/>
    </font>
    <font>
      <b val="1"/>
      <color rgb="00FFFFFF"/>
      <sz val="10"/>
    </font>
    <font>
      <b val="1"/>
      <color rgb="001E3A5F"/>
      <sz val="18"/>
    </font>
    <font>
      <b val="1"/>
      <color rgb="00FFFFFF"/>
      <sz val="32"/>
    </font>
    <font>
      <b val="1"/>
      <sz val="20"/>
    </font>
    <font>
      <b val="1"/>
      <sz val="10"/>
    </font>
    <font>
      <b val="1"/>
      <color rgb="00FFFFFF"/>
    </font>
    <font>
      <b val="1"/>
      <color rgb="0022C55E"/>
    </font>
    <font>
      <b val="1"/>
      <color rgb="00F97316"/>
    </font>
    <font>
      <b val="1"/>
      <color rgb="008B5CF6"/>
    </font>
    <font>
      <b val="1"/>
      <color rgb="00F97316"/>
      <sz val="18"/>
    </font>
    <font>
      <b val="1"/>
      <color rgb="002F5496"/>
      <sz val="18"/>
    </font>
    <font>
      <b val="1"/>
      <color rgb="000EA5E9"/>
      <sz val="18"/>
    </font>
    <font>
      <b val="1"/>
      <color rgb="002F5496"/>
      <sz val="14"/>
    </font>
    <font>
      <b val="1"/>
      <color rgb="0022C55E"/>
      <sz val="14"/>
    </font>
    <font>
      <b val="1"/>
      <color rgb="002E86AB"/>
      <sz val="9"/>
    </font>
    <font>
      <b val="1"/>
      <color rgb="00F97316"/>
      <sz val="12"/>
    </font>
    <font>
      <b val="1"/>
      <color rgb="00F97316"/>
      <sz val="9"/>
    </font>
  </fonts>
  <fills count="11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E3F2FD"/>
        <bgColor rgb="00E3F2FD"/>
      </patternFill>
    </fill>
    <fill>
      <patternFill patternType="solid">
        <fgColor rgb="00F3F4F6"/>
        <bgColor rgb="00F3F4F6"/>
      </patternFill>
    </fill>
    <fill>
      <patternFill patternType="solid">
        <fgColor rgb="002F5496"/>
        <bgColor rgb="002F5496"/>
      </patternFill>
    </fill>
    <fill>
      <patternFill patternType="solid">
        <fgColor rgb="002E86AB"/>
        <bgColor rgb="002E86AB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8B5CF6"/>
        <bgColor rgb="008B5CF6"/>
      </patternFill>
    </fill>
    <fill>
      <patternFill patternType="solid">
        <fgColor rgb="000EA5E9"/>
        <bgColor rgb="000EA5E9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167" fontId="0" fillId="0" borderId="0" pivotButton="0" quotePrefix="0" xfId="0"/>
    <xf numFmtId="0" fontId="9" fillId="4" borderId="0" pivotButton="0" quotePrefix="0" xfId="0"/>
    <xf numFmtId="0" fontId="14" fillId="5" borderId="0" pivotButton="0" quotePrefix="0" xfId="0"/>
    <xf numFmtId="0" fontId="14" fillId="6" borderId="0" pivotButton="0" quotePrefix="0" xfId="0"/>
    <xf numFmtId="0" fontId="15" fillId="2" borderId="0" applyAlignment="1" pivotButton="0" quotePrefix="0" xfId="0">
      <alignment horizontal="center"/>
    </xf>
    <xf numFmtId="168" fontId="16" fillId="6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168" fontId="18" fillId="0" borderId="1" applyAlignment="1" pivotButton="0" quotePrefix="0" xfId="0">
      <alignment horizontal="center"/>
    </xf>
    <xf numFmtId="0" fontId="0" fillId="0" borderId="4" pivotButton="0" quotePrefix="0" xfId="0"/>
    <xf numFmtId="2" fontId="18" fillId="0" borderId="1" applyAlignment="1" pivotButton="0" quotePrefix="0" xfId="0">
      <alignment horizontal="center"/>
    </xf>
    <xf numFmtId="169" fontId="18" fillId="0" borderId="1" applyAlignment="1" pivotButton="0" quotePrefix="0" xfId="0">
      <alignment horizontal="center"/>
    </xf>
    <xf numFmtId="0" fontId="19" fillId="7" borderId="0" pivotButton="0" quotePrefix="0" xfId="0"/>
    <xf numFmtId="0" fontId="20" fillId="7" borderId="0" applyAlignment="1" pivotButton="0" quotePrefix="0" xfId="0">
      <alignment horizontal="center"/>
    </xf>
    <xf numFmtId="168" fontId="13" fillId="0" borderId="1" applyAlignment="1" pivotButton="0" quotePrefix="0" xfId="0">
      <alignment horizontal="center"/>
    </xf>
    <xf numFmtId="169" fontId="13" fillId="0" borderId="1" applyAlignment="1" pivotButton="0" quotePrefix="0" xfId="0">
      <alignment horizontal="center"/>
    </xf>
    <xf numFmtId="0" fontId="9" fillId="0" borderId="0" pivotButton="0" quotePrefix="0" xfId="0"/>
    <xf numFmtId="168" fontId="0" fillId="0" borderId="0" pivotButton="0" quotePrefix="0" xfId="0"/>
    <xf numFmtId="2" fontId="0" fillId="0" borderId="0" pivotButton="0" quotePrefix="0" xfId="0"/>
    <xf numFmtId="169" fontId="0" fillId="0" borderId="0" pivotButton="0" quotePrefix="0" xfId="0"/>
    <xf numFmtId="0" fontId="0" fillId="0" borderId="1" pivotButton="0" quotePrefix="0" xfId="0"/>
    <xf numFmtId="0" fontId="8" fillId="0" borderId="0" pivotButton="0" quotePrefix="0" xfId="0"/>
    <xf numFmtId="0" fontId="10" fillId="3" borderId="0" pivotButton="0" quotePrefix="0" xfId="0"/>
    <xf numFmtId="165" fontId="0" fillId="3" borderId="0" pivotButton="0" quotePrefix="0" xfId="0"/>
    <xf numFmtId="166" fontId="0" fillId="0" borderId="0" pivotButton="0" quotePrefix="0" xfId="0"/>
    <xf numFmtId="0" fontId="21" fillId="0" borderId="0" pivotButton="0" quotePrefix="0" xfId="0"/>
    <xf numFmtId="0" fontId="5" fillId="2" borderId="0" applyAlignment="1" pivotButton="0" quotePrefix="0" xfId="0">
      <alignment horizontal="center"/>
    </xf>
    <xf numFmtId="168" fontId="22" fillId="6" borderId="0" applyAlignment="1" pivotButton="0" quotePrefix="0" xfId="0">
      <alignment horizontal="center"/>
    </xf>
    <xf numFmtId="169" fontId="10" fillId="0" borderId="0" applyAlignment="1" pivotButton="0" quotePrefix="0" xfId="0">
      <alignment horizontal="center"/>
    </xf>
    <xf numFmtId="168" fontId="23" fillId="0" borderId="1" applyAlignment="1" pivotButton="0" quotePrefix="0" xfId="0">
      <alignment horizontal="center"/>
    </xf>
    <xf numFmtId="170" fontId="23" fillId="0" borderId="1" applyAlignment="1" pivotButton="0" quotePrefix="0" xfId="0">
      <alignment horizontal="center"/>
    </xf>
    <xf numFmtId="169" fontId="23" fillId="0" borderId="1" applyAlignment="1" pivotButton="0" quotePrefix="0" xfId="0">
      <alignment horizontal="center"/>
    </xf>
    <xf numFmtId="0" fontId="5" fillId="7" borderId="0" pivotButton="0" quotePrefix="0" xfId="0"/>
    <xf numFmtId="0" fontId="24" fillId="4" borderId="0" applyAlignment="1" pivotButton="0" quotePrefix="0" xfId="0">
      <alignment horizontal="center"/>
    </xf>
    <xf numFmtId="168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169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25" fillId="7" borderId="1" pivotButton="0" quotePrefix="0" xfId="0"/>
    <xf numFmtId="168" fontId="0" fillId="0" borderId="1" pivotButton="0" quotePrefix="0" xfId="0"/>
    <xf numFmtId="169" fontId="0" fillId="0" borderId="1" pivotButton="0" quotePrefix="0" xfId="0"/>
    <xf numFmtId="2" fontId="0" fillId="0" borderId="1" pivotButton="0" quotePrefix="0" xfId="0"/>
    <xf numFmtId="0" fontId="25" fillId="8" borderId="1" pivotButton="0" quotePrefix="0" xfId="0"/>
    <xf numFmtId="0" fontId="25" fillId="9" borderId="1" pivotButton="0" quotePrefix="0" xfId="0"/>
    <xf numFmtId="0" fontId="6" fillId="0" borderId="1" pivotButton="0" quotePrefix="0" xfId="0"/>
    <xf numFmtId="168" fontId="6" fillId="0" borderId="1" pivotButton="0" quotePrefix="0" xfId="0"/>
    <xf numFmtId="2" fontId="6" fillId="0" borderId="1" pivotButton="0" quotePrefix="0" xfId="0"/>
    <xf numFmtId="169" fontId="6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0" fillId="0" borderId="0" pivotButton="0" quotePrefix="0" xfId="0"/>
    <xf numFmtId="2" fontId="13" fillId="0" borderId="1" applyAlignment="1" pivotButton="0" quotePrefix="0" xfId="0">
      <alignment horizontal="center"/>
    </xf>
    <xf numFmtId="3" fontId="13" fillId="0" borderId="1" applyAlignment="1" pivotButton="0" quotePrefix="0" xfId="0">
      <alignment horizontal="center"/>
    </xf>
    <xf numFmtId="10" fontId="13" fillId="0" borderId="1" applyAlignment="1" pivotButton="0" quotePrefix="0" xfId="0">
      <alignment horizontal="center"/>
    </xf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5" fillId="9" borderId="1" applyAlignment="1" pivotButton="0" quotePrefix="0" xfId="0">
      <alignment horizontal="center" vertical="center"/>
    </xf>
    <xf numFmtId="0" fontId="34" fillId="0" borderId="0" pivotButton="0" quotePrefix="0" xfId="0"/>
    <xf numFmtId="0" fontId="35" fillId="0" borderId="0" pivotButton="0" quotePrefix="0" xfId="0"/>
    <xf numFmtId="0" fontId="36" fillId="0" borderId="0" pivotButton="0" quotePrefix="0" xfId="0"/>
  </cellXfs>
  <cellStyles count="1">
    <cellStyle name="Normal" xfId="0" builtinId="0" hidden="0"/>
  </cellStyles>
  <dxfs count="2">
    <dxf>
      <font>
        <color rgb="0022C55E"/>
      </font>
      <fill>
        <patternFill patternType="solid">
          <fgColor rgb="00E8F5E9"/>
          <bgColor rgb="00E8F5E9"/>
        </patternFill>
      </fill>
    </dxf>
    <dxf>
      <font>
        <color rgb="00EF4444"/>
      </font>
      <fill>
        <patternFill patternType="solid">
          <fgColor rgb="00FFEBEE"/>
          <bgColor rgb="00FFEB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0" customWidth="1" min="3" max="3"/>
  </cols>
  <sheetData>
    <row r="1">
      <c r="A1" s="1" t="inlineStr">
        <is>
          <t>Campaign Performance Report - Excel Version</t>
        </is>
      </c>
    </row>
    <row r="2">
      <c r="A2" s="2" t="inlineStr">
        <is>
          <t>Replicates HTML Campaign Report Generator with Excel-native controls</t>
        </is>
      </c>
    </row>
    <row r="4">
      <c r="A4" s="3" t="inlineStr">
        <is>
          <t>1. GETTING STARTED</t>
        </is>
      </c>
    </row>
    <row r="5">
      <c r="A5" s="4" t="inlineStr">
        <is>
          <t>1.1 Import your Sponsored Products Campaign Report CSV into the 'Campaign Data' sheet</t>
        </is>
      </c>
    </row>
    <row r="6">
      <c r="A6" s="4" t="inlineStr">
        <is>
          <t>1.2 Import your Business Report CSV into the 'Business Data' sheet (required for TACOS)</t>
        </is>
      </c>
    </row>
    <row r="7">
      <c r="A7" s="4" t="inlineStr">
        <is>
          <t>1.3 Set your date range in the 'Settings' sheet</t>
        </is>
      </c>
    </row>
    <row r="8">
      <c r="A8" s="4" t="inlineStr">
        <is>
          <t>1.4 Use the Portfolio dropdown to switch between Overall, JN, and Non-JN views</t>
        </is>
      </c>
    </row>
    <row r="9">
      <c r="A9" s="4" t="inlineStr">
        <is>
          <t>1.5 Use the Time Period dropdown to switch between Daily, Weekly, and Monthly views</t>
        </is>
      </c>
    </row>
    <row r="11">
      <c r="A11" s="3" t="inlineStr">
        <is>
          <t>2. SHEET OVERVIEW</t>
        </is>
      </c>
    </row>
    <row r="12">
      <c r="A12" s="5" t="inlineStr">
        <is>
          <t>Sheet Name</t>
        </is>
      </c>
      <c r="B12" s="5" t="inlineStr">
        <is>
          <t>Description</t>
        </is>
      </c>
    </row>
    <row r="13">
      <c r="A13" s="6" t="inlineStr">
        <is>
          <t>Dashboard</t>
        </is>
      </c>
      <c r="B13" t="inlineStr">
        <is>
          <t>Main control panel with KPIs and portfolio selection</t>
        </is>
      </c>
    </row>
    <row r="14">
      <c r="A14" s="6" t="inlineStr">
        <is>
          <t>Executive Summary</t>
        </is>
      </c>
      <c r="B14" t="inlineStr">
        <is>
          <t>Key metrics with month-over-month comparisons</t>
        </is>
      </c>
    </row>
    <row r="15">
      <c r="A15" s="6" t="inlineStr">
        <is>
          <t>Segment Performance</t>
        </is>
      </c>
      <c r="B15" t="inlineStr">
        <is>
          <t>Branded/Competitor/Non-Branded breakdown</t>
        </is>
      </c>
    </row>
    <row r="16">
      <c r="A16" s="6" t="inlineStr">
        <is>
          <t>Performance Trends</t>
        </is>
      </c>
      <c r="B16" t="inlineStr">
        <is>
          <t>Daily/Weekly/Monthly trend analysis</t>
        </is>
      </c>
    </row>
    <row r="17">
      <c r="A17" s="6" t="inlineStr">
        <is>
          <t>Monthly Analysis</t>
        </is>
      </c>
      <c r="B17" t="inlineStr">
        <is>
          <t>Month-over-month performance data</t>
        </is>
      </c>
    </row>
    <row r="18">
      <c r="A18" s="6" t="inlineStr">
        <is>
          <t>Weekly Analysis</t>
        </is>
      </c>
      <c r="B18" t="inlineStr">
        <is>
          <t>Week-over-week performance data</t>
        </is>
      </c>
    </row>
    <row r="19">
      <c r="A19" s="6" t="inlineStr">
        <is>
          <t>Organic vs Paid</t>
        </is>
      </c>
      <c r="B19" t="inlineStr">
        <is>
          <t>Total Sales breakdown (requires Business Report)</t>
        </is>
      </c>
    </row>
    <row r="20">
      <c r="A20" s="6" t="inlineStr">
        <is>
          <t>JN Portfolio</t>
        </is>
      </c>
      <c r="B20" t="inlineStr">
        <is>
          <t>JN-specific metrics and segments</t>
        </is>
      </c>
    </row>
    <row r="21">
      <c r="A21" s="6" t="inlineStr">
        <is>
          <t>Non-JN Portfolio</t>
        </is>
      </c>
      <c r="B21" t="inlineStr">
        <is>
          <t>Non-JN-specific metrics and segments</t>
        </is>
      </c>
    </row>
    <row r="22">
      <c r="A22" s="6" t="inlineStr">
        <is>
          <t>Pivot - Portfolio</t>
        </is>
      </c>
      <c r="B22" t="inlineStr">
        <is>
          <t>Cross-tabulation by portfolio and time</t>
        </is>
      </c>
    </row>
    <row r="23">
      <c r="A23" s="6" t="inlineStr">
        <is>
          <t>Pivot - Segment</t>
        </is>
      </c>
      <c r="B23" t="inlineStr">
        <is>
          <t>Cross-tabulation by segment and time</t>
        </is>
      </c>
    </row>
    <row r="24">
      <c r="A24" s="6" t="inlineStr">
        <is>
          <t>Campaign Data</t>
        </is>
      </c>
      <c r="B24" t="inlineStr">
        <is>
          <t>Raw campaign data input (paste your CSV here)</t>
        </is>
      </c>
    </row>
    <row r="25">
      <c r="A25" s="6" t="inlineStr">
        <is>
          <t>Business Data</t>
        </is>
      </c>
      <c r="B25" t="inlineStr">
        <is>
          <t>Raw business report input (paste your CSV here)</t>
        </is>
      </c>
    </row>
    <row r="26">
      <c r="A26" s="6" t="inlineStr">
        <is>
          <t>Settings</t>
        </is>
      </c>
      <c r="B26" t="inlineStr">
        <is>
          <t>Configuration and dropdown values</t>
        </is>
      </c>
    </row>
    <row r="28">
      <c r="A28" s="3" t="inlineStr">
        <is>
          <t>3. INTERACTIVE CONTROLS</t>
        </is>
      </c>
    </row>
    <row r="29">
      <c r="A29" s="5" t="inlineStr">
        <is>
          <t>Control</t>
        </is>
      </c>
      <c r="B29" s="5" t="inlineStr">
        <is>
          <t>Options</t>
        </is>
      </c>
      <c r="C29" s="5" t="inlineStr">
        <is>
          <t>Effect</t>
        </is>
      </c>
    </row>
    <row r="30">
      <c r="A30" t="inlineStr">
        <is>
          <t>Portfolio Toggle</t>
        </is>
      </c>
      <c r="B30" t="inlineStr">
        <is>
          <t>Overall | JN | Non-JN</t>
        </is>
      </c>
      <c r="C30" t="inlineStr">
        <is>
          <t>Filters all metrics by portfolio</t>
        </is>
      </c>
    </row>
    <row r="31">
      <c r="A31" t="inlineStr">
        <is>
          <t>Time Period</t>
        </is>
      </c>
      <c r="B31" t="inlineStr">
        <is>
          <t>Daily | Weekly | Monthly</t>
        </is>
      </c>
      <c r="C31" t="inlineStr">
        <is>
          <t>Aggregates trend data by time period</t>
        </is>
      </c>
    </row>
    <row r="32">
      <c r="A32" t="inlineStr">
        <is>
          <t>Start Date</t>
        </is>
      </c>
      <c r="B32" t="inlineStr">
        <is>
          <t>Date picker</t>
        </is>
      </c>
      <c r="C32" t="inlineStr">
        <is>
          <t>Beginning of analysis period</t>
        </is>
      </c>
    </row>
    <row r="33">
      <c r="A33" t="inlineStr">
        <is>
          <t>End Date</t>
        </is>
      </c>
      <c r="B33" t="inlineStr">
        <is>
          <t>Date picker</t>
        </is>
      </c>
      <c r="C33" t="inlineStr">
        <is>
          <t>End of analysis period</t>
        </is>
      </c>
    </row>
    <row r="35">
      <c r="A35" s="3" t="inlineStr">
        <is>
          <t>4. KEY METRICS DEFINITIONS</t>
        </is>
      </c>
    </row>
    <row r="36">
      <c r="A36" s="5" t="inlineStr">
        <is>
          <t>Metric</t>
        </is>
      </c>
      <c r="B36" s="5" t="inlineStr">
        <is>
          <t>Definition</t>
        </is>
      </c>
    </row>
    <row r="37">
      <c r="A37" s="6" t="inlineStr">
        <is>
          <t>Ad Spend</t>
        </is>
      </c>
      <c r="B37" t="inlineStr">
        <is>
          <t>Total advertising spend</t>
        </is>
      </c>
    </row>
    <row r="38">
      <c r="A38" s="6" t="inlineStr">
        <is>
          <t>Ad Sales</t>
        </is>
      </c>
      <c r="B38" t="inlineStr">
        <is>
          <t>Sales attributed to advertising (7-day attribution)</t>
        </is>
      </c>
    </row>
    <row r="39">
      <c r="A39" s="6" t="inlineStr">
        <is>
          <t>ROAS</t>
        </is>
      </c>
      <c r="B39" t="inlineStr">
        <is>
          <t>Return on Ad Spend = Ad Sales / Ad Spend</t>
        </is>
      </c>
    </row>
    <row r="40">
      <c r="A40" s="6" t="inlineStr">
        <is>
          <t>ACoS</t>
        </is>
      </c>
      <c r="B40" t="inlineStr">
        <is>
          <t>Advertising Cost of Sale = Ad Spend / Ad Sales × 100%</t>
        </is>
      </c>
    </row>
    <row r="41">
      <c r="A41" s="6" t="inlineStr">
        <is>
          <t>TACOS</t>
        </is>
      </c>
      <c r="B41" t="inlineStr">
        <is>
          <t>Total Advertising Cost of Sale = Ad Spend / Total Sales × 100%</t>
        </is>
      </c>
    </row>
    <row r="42">
      <c r="A42" s="6" t="inlineStr">
        <is>
          <t>CVR</t>
        </is>
      </c>
      <c r="B42" t="inlineStr">
        <is>
          <t>Conversion Rate = Orders / Clicks × 100%</t>
        </is>
      </c>
    </row>
    <row r="43">
      <c r="A43" s="6" t="inlineStr">
        <is>
          <t>CPC</t>
        </is>
      </c>
      <c r="B43" t="inlineStr">
        <is>
          <t>Cost Per Click = Ad Spend / Clicks</t>
        </is>
      </c>
    </row>
    <row r="44">
      <c r="A44" s="6" t="inlineStr">
        <is>
          <t>CTR</t>
        </is>
      </c>
      <c r="B44" t="inlineStr">
        <is>
          <t>Click-Through Rate = Clicks / Impressions × 100%</t>
        </is>
      </c>
    </row>
    <row r="45">
      <c r="A45" s="6" t="inlineStr">
        <is>
          <t>Organic Sales</t>
        </is>
      </c>
      <c r="B45" t="inlineStr">
        <is>
          <t>Total Sales - Ad Sales</t>
        </is>
      </c>
    </row>
    <row r="48">
      <c r="A48" s="7" t="inlineStr">
        <is>
          <t>Made by Krell for Piping Rock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CAMPAIGN PERFORMANCE REPORT</t>
        </is>
      </c>
    </row>
    <row r="2">
      <c r="A2" s="9" t="inlineStr">
        <is>
          <t>Executive Dashboard</t>
        </is>
      </c>
    </row>
    <row r="3">
      <c r="A3" t="inlineStr">
        <is>
          <t>Date Range:</t>
        </is>
      </c>
      <c r="B3" s="10">
        <f>Settings!B6</f>
        <v/>
      </c>
      <c r="C3" t="inlineStr">
        <is>
          <t>to</t>
        </is>
      </c>
      <c r="D3" s="10">
        <f>Settings!B7</f>
        <v/>
      </c>
    </row>
    <row r="5">
      <c r="A5" s="11" t="inlineStr">
        <is>
          <t>CONTROLS</t>
        </is>
      </c>
    </row>
    <row r="6">
      <c r="A6" t="inlineStr">
        <is>
          <t>Portfolio:</t>
        </is>
      </c>
      <c r="B6" s="12">
        <f>Settings!B4</f>
        <v/>
      </c>
      <c r="C6" t="inlineStr">
        <is>
          <t>Time Period:</t>
        </is>
      </c>
      <c r="D6" s="13">
        <f>Settings!B5</f>
        <v/>
      </c>
    </row>
    <row r="8">
      <c r="A8" s="14" t="inlineStr">
        <is>
          <t>TOTAL AD SALES</t>
        </is>
      </c>
    </row>
    <row r="9">
      <c r="A9" s="15">
        <f>SUMIFS('Campaign Data'!X:X,'Campaign Data'!A:A,"&gt;="&amp;Settings!B6,'Campaign Data'!A:A,"&lt;="&amp;Settings!B7,'Campaign Data'!Y:Y,IF(Settings!B4="Overall","*",IF(Settings!B4="JN","JN","Non-JN")))</f>
        <v/>
      </c>
    </row>
    <row r="11">
      <c r="A11" s="16" t="inlineStr">
        <is>
          <t>AD SPEND</t>
        </is>
      </c>
      <c r="C11" s="16" t="inlineStr">
        <is>
          <t>AD SALES</t>
        </is>
      </c>
      <c r="E11" s="16" t="inlineStr">
        <is>
          <t>ROAS</t>
        </is>
      </c>
      <c r="G11" s="16" t="inlineStr">
        <is>
          <t>TACOS</t>
        </is>
      </c>
    </row>
    <row r="12">
      <c r="A12" s="17">
        <f>SUMIFS('Campaign Data'!G:G,'Campaign Data'!A:A,"&gt;="&amp;Settings!B6,'Campaign Data'!A:A,"&lt;="&amp;Settings!B7)</f>
        <v/>
      </c>
      <c r="B12" s="18" t="n"/>
      <c r="C12" s="17">
        <f>SUMIFS('Campaign Data'!H:H,'Campaign Data'!A:A,"&gt;="&amp;Settings!B6,'Campaign Data'!A:A,"&lt;="&amp;Settings!B7)</f>
        <v/>
      </c>
      <c r="D12" s="18" t="n"/>
      <c r="E12" s="19">
        <f>IF(A12&gt;0,B12/A12,0)</f>
        <v/>
      </c>
      <c r="F12" s="18" t="n"/>
      <c r="G12" s="20">
        <f>IF(SUMIFS('Business Data'!B:B,'Business Data'!A:A,"&gt;="&amp;Settings!B6,'Business Data'!A:A,"&lt;="&amp;Settings!B7)&gt;0,A12/SUMIFS('Business Data'!B:B,'Business Data'!A:A,"&gt;="&amp;Settings!B6,'Business Data'!A:A,"&lt;="&amp;Settings!B7),0)</f>
        <v/>
      </c>
      <c r="H12" s="18" t="n"/>
    </row>
    <row r="14">
      <c r="A14" s="21" t="inlineStr">
        <is>
          <t>SALES BREAKDOWN</t>
        </is>
      </c>
    </row>
    <row r="15">
      <c r="A15" s="22" t="inlineStr">
        <is>
          <t>Total Sales</t>
        </is>
      </c>
      <c r="B15" s="22" t="inlineStr">
        <is>
          <t>Ad Sales</t>
        </is>
      </c>
      <c r="C15" s="22" t="inlineStr">
        <is>
          <t>Ad %</t>
        </is>
      </c>
      <c r="D15" s="22" t="inlineStr">
        <is>
          <t>Organic Sales</t>
        </is>
      </c>
      <c r="E15" s="22" t="inlineStr">
        <is>
          <t>Organic %</t>
        </is>
      </c>
    </row>
    <row r="16">
      <c r="A16" s="23">
        <f>SUMIFS('Business Data'!B:B,'Business Data'!A:A,"&gt;="&amp;Settings!B6,'Business Data'!A:A,"&lt;="&amp;Settings!B7)</f>
        <v/>
      </c>
      <c r="B16" s="23">
        <f>B12</f>
        <v/>
      </c>
      <c r="C16" s="24">
        <f>IF(A16&gt;0,B16/A16,0)</f>
        <v/>
      </c>
      <c r="D16" s="23">
        <f>A16-B16</f>
        <v/>
      </c>
      <c r="E16" s="24">
        <f>IF(A16&gt;0,D16/A16,0)</f>
        <v/>
      </c>
    </row>
    <row r="18">
      <c r="A18" s="25" t="inlineStr">
        <is>
          <t>SEGMENT PERFORMANCE (Current Period)</t>
        </is>
      </c>
    </row>
    <row r="19">
      <c r="A19" s="5" t="inlineStr">
        <is>
          <t>Segment</t>
        </is>
      </c>
      <c r="B19" s="5" t="inlineStr">
        <is>
          <t>Spend</t>
        </is>
      </c>
      <c r="C19" s="5" t="inlineStr">
        <is>
          <t>Sales</t>
        </is>
      </c>
      <c r="D19" s="5" t="inlineStr">
        <is>
          <t>ROAS</t>
        </is>
      </c>
      <c r="E19" s="5" t="inlineStr">
        <is>
          <t>ACoS</t>
        </is>
      </c>
    </row>
    <row r="20">
      <c r="A20" s="6" t="inlineStr">
        <is>
          <t>Branded</t>
        </is>
      </c>
      <c r="B20" s="26">
        <f>SUMIFS('Campaign Data'!Q:Q,'Campaign Data'!A:A,"&gt;="&amp;Settings!B6,'Campaign Data'!A:A,"&lt;="&amp;Settings!B7,'Campaign Data'!Z:Z,"Branded")</f>
        <v/>
      </c>
      <c r="C20" s="26">
        <f>SUMIFS('Campaign Data'!X:X,'Campaign Data'!A:A,"&gt;="&amp;Settings!B6,'Campaign Data'!A:A,"&lt;="&amp;Settings!B7,'Campaign Data'!Z:Z,"Branded")</f>
        <v/>
      </c>
      <c r="D20" s="27">
        <f>IF(B20&gt;0,C20/B20,0)</f>
        <v/>
      </c>
      <c r="E20" s="28">
        <f>IF(C20&gt;0,B20/C20,0)</f>
        <v/>
      </c>
    </row>
    <row r="21">
      <c r="A21" s="6" t="inlineStr">
        <is>
          <t>Competitor</t>
        </is>
      </c>
      <c r="B21" s="26">
        <f>SUMIFS('Campaign Data'!Q:Q,'Campaign Data'!A:A,"&gt;="&amp;Settings!B6,'Campaign Data'!A:A,"&lt;="&amp;Settings!B7,'Campaign Data'!Z:Z,"Competitor")</f>
        <v/>
      </c>
      <c r="C21" s="26">
        <f>SUMIFS('Campaign Data'!X:X,'Campaign Data'!A:A,"&gt;="&amp;Settings!B6,'Campaign Data'!A:A,"&lt;="&amp;Settings!B7,'Campaign Data'!Z:Z,"Competitor")</f>
        <v/>
      </c>
      <c r="D21" s="27">
        <f>IF(B21&gt;0,C21/B21,0)</f>
        <v/>
      </c>
      <c r="E21" s="28">
        <f>IF(C21&gt;0,B21/C21,0)</f>
        <v/>
      </c>
    </row>
    <row r="22">
      <c r="A22" s="6" t="inlineStr">
        <is>
          <t>Non-Branded</t>
        </is>
      </c>
      <c r="B22" s="26">
        <f>SUMIFS('Campaign Data'!Q:Q,'Campaign Data'!A:A,"&gt;="&amp;Settings!B6,'Campaign Data'!A:A,"&lt;="&amp;Settings!B7,'Campaign Data'!Z:Z,"Non-Branded")</f>
        <v/>
      </c>
      <c r="C22" s="26">
        <f>SUMIFS('Campaign Data'!X:X,'Campaign Data'!A:A,"&gt;="&amp;Settings!B6,'Campaign Data'!A:A,"&lt;="&amp;Settings!B7,'Campaign Data'!Z:Z,"Non-Branded")</f>
        <v/>
      </c>
      <c r="D22" s="27">
        <f>IF(B22&gt;0,C22/B22,0)</f>
        <v/>
      </c>
      <c r="E22" s="28">
        <f>IF(C22&gt;0,B22/C22,0)</f>
        <v/>
      </c>
    </row>
    <row r="25">
      <c r="A25" s="25" t="inlineStr">
        <is>
          <t>MONTHLY PERFORMANCE TREND</t>
        </is>
      </c>
    </row>
    <row r="26">
      <c r="A26" s="5" t="inlineStr">
        <is>
          <t>Month</t>
        </is>
      </c>
      <c r="B26" s="5" t="inlineStr">
        <is>
          <t>Spend</t>
        </is>
      </c>
      <c r="C26" s="5" t="inlineStr">
        <is>
          <t>Sales</t>
        </is>
      </c>
      <c r="D26" s="5" t="inlineStr">
        <is>
          <t>ROAS</t>
        </is>
      </c>
      <c r="E26" s="5" t="inlineStr">
        <is>
          <t>MoM Spend %</t>
        </is>
      </c>
      <c r="F26" s="5" t="inlineStr">
        <is>
          <t>MoM Sales %</t>
        </is>
      </c>
      <c r="G26" s="5" t="inlineStr">
        <is>
          <t>MoM ROAS %</t>
        </is>
      </c>
    </row>
    <row r="27">
      <c r="A27" s="29" t="n"/>
      <c r="B27" s="29" t="n"/>
      <c r="C27" s="29" t="n"/>
      <c r="D27" s="29" t="n"/>
      <c r="E27" s="29" t="n"/>
      <c r="F27" s="29" t="n"/>
      <c r="G27" s="29" t="n"/>
    </row>
    <row r="28">
      <c r="A28" s="29" t="n"/>
      <c r="B28" s="29" t="n"/>
      <c r="C28" s="29" t="n"/>
      <c r="D28" s="29" t="n"/>
      <c r="E28" s="29" t="n"/>
      <c r="F28" s="29" t="n"/>
      <c r="G28" s="29" t="n"/>
    </row>
    <row r="29">
      <c r="A29" s="29" t="n"/>
      <c r="B29" s="29" t="n"/>
      <c r="C29" s="29" t="n"/>
      <c r="D29" s="29" t="n"/>
      <c r="E29" s="29" t="n"/>
      <c r="F29" s="29" t="n"/>
      <c r="G29" s="29" t="n"/>
    </row>
    <row r="30">
      <c r="A30" s="29" t="n"/>
      <c r="B30" s="29" t="n"/>
      <c r="C30" s="29" t="n"/>
      <c r="D30" s="29" t="n"/>
      <c r="E30" s="29" t="n"/>
      <c r="F30" s="29" t="n"/>
      <c r="G30" s="29" t="n"/>
    </row>
    <row r="31">
      <c r="A31" s="29" t="n"/>
      <c r="B31" s="29" t="n"/>
      <c r="C31" s="29" t="n"/>
      <c r="D31" s="29" t="n"/>
      <c r="E31" s="29" t="n"/>
      <c r="F31" s="29" t="n"/>
      <c r="G31" s="29" t="n"/>
    </row>
    <row r="32">
      <c r="A32" s="29" t="n"/>
      <c r="B32" s="29" t="n"/>
      <c r="C32" s="29" t="n"/>
      <c r="D32" s="29" t="n"/>
      <c r="E32" s="29" t="n"/>
      <c r="F32" s="29" t="n"/>
      <c r="G32" s="29" t="n"/>
    </row>
    <row r="35">
      <c r="A35" s="7" t="inlineStr">
        <is>
          <t>Made by Krell for Piping Rock</t>
        </is>
      </c>
    </row>
  </sheetData>
  <mergeCells count="17">
    <mergeCell ref="A5:D5"/>
    <mergeCell ref="C12:D12"/>
    <mergeCell ref="A9:D9"/>
    <mergeCell ref="E12:F12"/>
    <mergeCell ref="A8:D8"/>
    <mergeCell ref="G12:H12"/>
    <mergeCell ref="A35:D35"/>
    <mergeCell ref="C11:D11"/>
    <mergeCell ref="A2:H2"/>
    <mergeCell ref="A11:B11"/>
    <mergeCell ref="E11:F11"/>
    <mergeCell ref="G11:H11"/>
    <mergeCell ref="A25:G25"/>
    <mergeCell ref="A14:H14"/>
    <mergeCell ref="A1:H1"/>
    <mergeCell ref="A18:E18"/>
    <mergeCell ref="A12:B12"/>
  </mergeCells>
  <conditionalFormatting sqref="E2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2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G27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E28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F28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G28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E2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F2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G2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E3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F3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G3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E31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F31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G31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E32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F32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G32">
    <cfRule type="cellIs" priority="35" operator="greaterThan" dxfId="0">
      <formula>0</formula>
    </cfRule>
    <cfRule type="cellIs" priority="36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>
      <c r="A1" s="30" t="inlineStr">
        <is>
          <t>Report Settings &amp; Configuration</t>
        </is>
      </c>
    </row>
    <row r="3">
      <c r="A3" s="25" t="inlineStr">
        <is>
          <t>GLOBAL CONTROLS</t>
        </is>
      </c>
    </row>
    <row r="4">
      <c r="A4" t="inlineStr">
        <is>
          <t>Portfolio:</t>
        </is>
      </c>
      <c r="B4" s="31" t="inlineStr">
        <is>
          <t>Overall</t>
        </is>
      </c>
    </row>
    <row r="5">
      <c r="A5" t="inlineStr">
        <is>
          <t>Time Period:</t>
        </is>
      </c>
      <c r="B5" s="31" t="inlineStr">
        <is>
          <t>Weekly</t>
        </is>
      </c>
    </row>
    <row r="6">
      <c r="A6" t="inlineStr">
        <is>
          <t>Start Date:</t>
        </is>
      </c>
      <c r="B6" s="32" t="n">
        <v>45940.84495021662</v>
      </c>
    </row>
    <row r="7">
      <c r="A7" t="inlineStr">
        <is>
          <t>End Date:</t>
        </is>
      </c>
      <c r="B7" s="32" t="n">
        <v>46030.84495021826</v>
      </c>
    </row>
    <row r="10">
      <c r="A10" s="25" t="inlineStr">
        <is>
          <t>DROPDOWN OPTIONS (DO NOT MODIFY)</t>
        </is>
      </c>
    </row>
    <row r="11">
      <c r="A11" t="inlineStr">
        <is>
          <t>Portfolio Options:</t>
        </is>
      </c>
      <c r="B11" t="inlineStr">
        <is>
          <t>Overall</t>
        </is>
      </c>
      <c r="C11" t="inlineStr">
        <is>
          <t>JN</t>
        </is>
      </c>
      <c r="D11" t="inlineStr">
        <is>
          <t>Non-JN</t>
        </is>
      </c>
    </row>
    <row r="12">
      <c r="A12" t="inlineStr">
        <is>
          <t>Time Period Options:</t>
        </is>
      </c>
      <c r="B12" t="inlineStr">
        <is>
          <t>Daily</t>
        </is>
      </c>
      <c r="C12" t="inlineStr">
        <is>
          <t>Weekly</t>
        </is>
      </c>
      <c r="D12" t="inlineStr">
        <is>
          <t>Monthly</t>
        </is>
      </c>
    </row>
    <row r="13">
      <c r="A13" t="inlineStr">
        <is>
          <t>Segment Options:</t>
        </is>
      </c>
      <c r="B13" t="inlineStr">
        <is>
          <t>Branded</t>
        </is>
      </c>
      <c r="C13" t="inlineStr">
        <is>
          <t>Competitor</t>
        </is>
      </c>
      <c r="D13" t="inlineStr">
        <is>
          <t>Non-Branded</t>
        </is>
      </c>
    </row>
    <row r="16">
      <c r="A16" s="25" t="inlineStr">
        <is>
          <t>CALCULATED VALUES</t>
        </is>
      </c>
    </row>
    <row r="17">
      <c r="A17" t="inlineStr">
        <is>
          <t>Report Generated:</t>
        </is>
      </c>
      <c r="B17" s="33" t="n">
        <v>46030.8449502201</v>
      </c>
    </row>
    <row r="18">
      <c r="A18" t="inlineStr">
        <is>
          <t>Date Range Days:</t>
        </is>
      </c>
      <c r="B18">
        <f>B7-B6</f>
        <v/>
      </c>
    </row>
  </sheetData>
  <mergeCells count="1">
    <mergeCell ref="A1:D1"/>
  </mergeCells>
  <dataValidations count="2">
    <dataValidation sqref="B4" showDropDown="0" showInputMessage="0" showErrorMessage="0" allowBlank="0" error="Please select from dropdown" prompt="Select portfolio view" type="list">
      <formula1>"Overall,JN,Non-JN"</formula1>
    </dataValidation>
    <dataValidation sqref="B5" showDropDown="0" showInputMessage="0" showErrorMessage="0" allowBlank="0" error="Please select from dropdown" prompt="Select time period" type="list">
      <formula1>"Daily,Weekly,Monthly"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hidden="1"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34" t="inlineStr">
        <is>
          <t>EXECUTIVE SUMMARY</t>
        </is>
      </c>
    </row>
    <row r="2">
      <c r="A2" t="inlineStr">
        <is>
          <t>Portfolio:</t>
        </is>
      </c>
      <c r="B2" s="6">
        <f>Settings!B4</f>
        <v/>
      </c>
      <c r="C2" t="inlineStr">
        <is>
          <t>Period:</t>
        </is>
      </c>
      <c r="D2">
        <f>TEXT(Settings!B6,"MMM D, YYYY")&amp;" - "&amp;TEXT(Settings!B7,"MMM D, YYYY")</f>
        <v/>
      </c>
    </row>
    <row r="3">
      <c r="A3" s="7" t="inlineStr">
        <is>
          <t>Showing Most Recent Complete Month</t>
        </is>
      </c>
    </row>
    <row r="5">
      <c r="A5" s="35" t="inlineStr">
        <is>
          <t>AD SALES</t>
        </is>
      </c>
    </row>
    <row r="6">
      <c r="A6" s="36">
        <f>SUMIFS('Campaign Data'!X:X,'Campaign Data'!AB:AB,TEXT(EOMONTH(Settings!B7,-1)+1,"MMM YYYY"))</f>
        <v/>
      </c>
      <c r="E6" s="26">
        <f>SUMIFS('Campaign Data'!X:X,'Campaign Data'!AB:AB,TEXT(EOMONTH(Settings!B7,-2)+1,"MMM YYYY"))</f>
        <v/>
      </c>
    </row>
    <row r="7">
      <c r="A7" s="37">
        <f>IF(A6&gt;0,IF(E6&gt;0,(A6-E6)/E6,0),0)</f>
        <v/>
      </c>
    </row>
    <row r="9">
      <c r="A9" s="16" t="inlineStr">
        <is>
          <t>AD SPEND</t>
        </is>
      </c>
      <c r="C9" s="16" t="inlineStr">
        <is>
          <t>AD SALES</t>
        </is>
      </c>
      <c r="E9" s="16" t="inlineStr">
        <is>
          <t>ROAS</t>
        </is>
      </c>
      <c r="G9" s="16" t="inlineStr">
        <is>
          <t>TACOS</t>
        </is>
      </c>
    </row>
    <row r="10">
      <c r="A10" s="38">
        <f>SUMIFS('Campaign Data'!Q:Q,'Campaign Data'!R:R,TEXT(EOMONTH(Settings!B7,-1)+1,"MMM YYYY"))</f>
        <v/>
      </c>
      <c r="C10" s="38">
        <f>SUMIFS('Campaign Data'!X:X,'Campaign Data'!R:R,TEXT(EOMONTH(Settings!B7,-1)+1,"MMM YYYY"))</f>
        <v/>
      </c>
      <c r="E10" s="39">
        <f>IF(A10&gt;0,C10/A10,0)</f>
        <v/>
      </c>
      <c r="G10" s="40">
        <f>IF(SUMIFS('Business Data'!B:B,'Business Data'!I:I,TEXT(EOMONTH(Settings!B7,-1)+1,"MMM YYYY"))&gt;0,A10/SUMIFS('Business Data'!B:B,'Business Data'!I:I,TEXT(EOMONTH(Settings!B7,-1)+1,"MMM YYYY")),0)</f>
        <v/>
      </c>
    </row>
    <row r="13">
      <c r="A13" s="41" t="inlineStr">
        <is>
          <t>SALES BREAKDOWN (Monthly)</t>
        </is>
      </c>
    </row>
    <row r="14">
      <c r="A14" s="42" t="inlineStr">
        <is>
          <t>Total Sales</t>
        </is>
      </c>
      <c r="B14" s="42" t="inlineStr">
        <is>
          <t>Ad Sales</t>
        </is>
      </c>
      <c r="C14" s="42" t="inlineStr">
        <is>
          <t>Organic Sales</t>
        </is>
      </c>
      <c r="D14" s="42" t="inlineStr">
        <is>
          <t>Ad %</t>
        </is>
      </c>
      <c r="E14" s="42" t="inlineStr">
        <is>
          <t>Organic %</t>
        </is>
      </c>
    </row>
    <row r="15">
      <c r="A15" s="23">
        <f>SUMIFS('Business Data'!B:B,'Business Data'!I:I,TEXT(EOMONTH(Settings!B7,-1)+1,"MMM YYYY"))</f>
        <v/>
      </c>
      <c r="B15" s="23">
        <f>C10</f>
        <v/>
      </c>
      <c r="C15" s="23">
        <f>MAX(0,A15-B15)</f>
        <v/>
      </c>
      <c r="D15" s="24">
        <f>IF(A15&gt;0,B15/A15,0)</f>
        <v/>
      </c>
      <c r="E15" s="24">
        <f>IF(A15&gt;0,C15/A15,0)</f>
        <v/>
      </c>
    </row>
    <row r="18">
      <c r="A18" s="25" t="inlineStr">
        <is>
          <t>KEY INSIGHTS</t>
        </is>
      </c>
    </row>
    <row r="19">
      <c r="A19" s="4" t="inlineStr">
        <is>
          <t>1. Ad Sales performance vs previous month shows trend direction</t>
        </is>
      </c>
    </row>
    <row r="20">
      <c r="A20" s="4" t="inlineStr">
        <is>
          <t>2. Best performing segment by ROAS indicates optimization opportunities</t>
        </is>
      </c>
    </row>
    <row r="21">
      <c r="A21" s="4" t="inlineStr">
        <is>
          <t>3. TACOS trend indicates overall advertising efficiency vs total revenue</t>
        </is>
      </c>
    </row>
    <row r="23">
      <c r="A23" s="25" t="inlineStr">
        <is>
          <t>MONTHLY PERFORMANCE</t>
        </is>
      </c>
    </row>
    <row r="24">
      <c r="A24" s="5" t="inlineStr">
        <is>
          <t>Metric</t>
        </is>
      </c>
      <c r="B24" s="5" t="inlineStr">
        <is>
          <t>Month -5</t>
        </is>
      </c>
      <c r="C24" s="5" t="inlineStr">
        <is>
          <t>Month -4</t>
        </is>
      </c>
      <c r="D24" s="5" t="inlineStr">
        <is>
          <t>Month -3</t>
        </is>
      </c>
      <c r="E24" s="5" t="inlineStr">
        <is>
          <t>Month -2</t>
        </is>
      </c>
      <c r="F24" s="5" t="inlineStr">
        <is>
          <t>Month -1</t>
        </is>
      </c>
      <c r="G24" s="5" t="inlineStr">
        <is>
          <t>Current</t>
        </is>
      </c>
    </row>
    <row r="25">
      <c r="A25" s="6" t="inlineStr">
        <is>
          <t>Ad Spend</t>
        </is>
      </c>
      <c r="B25" s="43" t="n"/>
      <c r="C25" s="43" t="n"/>
      <c r="D25" s="43" t="n"/>
      <c r="E25" s="43" t="n"/>
      <c r="F25" s="43" t="n"/>
      <c r="G25" s="43" t="n"/>
    </row>
    <row r="26">
      <c r="A26" s="6" t="inlineStr">
        <is>
          <t>Ad Sales</t>
        </is>
      </c>
      <c r="B26" s="43" t="n"/>
      <c r="C26" s="43" t="n"/>
      <c r="D26" s="43" t="n"/>
      <c r="E26" s="43" t="n"/>
      <c r="F26" s="43" t="n"/>
      <c r="G26" s="43" t="n"/>
    </row>
    <row r="27">
      <c r="A27" s="6" t="inlineStr">
        <is>
          <t>ROAS</t>
        </is>
      </c>
      <c r="B27" s="44" t="n"/>
      <c r="C27" s="44" t="n"/>
      <c r="D27" s="44" t="n"/>
      <c r="E27" s="44" t="n"/>
      <c r="F27" s="44" t="n"/>
      <c r="G27" s="44" t="n"/>
    </row>
    <row r="28">
      <c r="A28" s="6" t="inlineStr">
        <is>
          <t>ACoS %</t>
        </is>
      </c>
      <c r="B28" s="45" t="n"/>
      <c r="C28" s="45" t="n"/>
      <c r="D28" s="45" t="n"/>
      <c r="E28" s="45" t="n"/>
      <c r="F28" s="45" t="n"/>
      <c r="G28" s="45" t="n"/>
    </row>
    <row r="29">
      <c r="A29" s="6" t="inlineStr">
        <is>
          <t>Orders</t>
        </is>
      </c>
      <c r="B29" s="46" t="n"/>
      <c r="C29" s="46" t="n"/>
      <c r="D29" s="46" t="n"/>
      <c r="E29" s="46" t="n"/>
      <c r="F29" s="46" t="n"/>
      <c r="G29" s="46" t="n"/>
    </row>
    <row r="30">
      <c r="A30" s="6" t="inlineStr">
        <is>
          <t>Clicks</t>
        </is>
      </c>
      <c r="B30" s="46" t="n"/>
      <c r="C30" s="46" t="n"/>
      <c r="D30" s="46" t="n"/>
      <c r="E30" s="46" t="n"/>
      <c r="F30" s="46" t="n"/>
      <c r="G30" s="46" t="n"/>
    </row>
    <row r="31">
      <c r="A31" s="6" t="inlineStr">
        <is>
          <t>CVR %</t>
        </is>
      </c>
      <c r="B31" s="47" t="n"/>
      <c r="C31" s="47" t="n"/>
      <c r="D31" s="47" t="n"/>
      <c r="E31" s="47" t="n"/>
      <c r="F31" s="47" t="n"/>
      <c r="G31" s="47" t="n"/>
    </row>
  </sheetData>
  <mergeCells count="10">
    <mergeCell ref="A18:H18"/>
    <mergeCell ref="A5:D5"/>
    <mergeCell ref="A23:J23"/>
    <mergeCell ref="A21:H21"/>
    <mergeCell ref="A6:D6"/>
    <mergeCell ref="A13:F13"/>
    <mergeCell ref="A20:H20"/>
    <mergeCell ref="A7:D7"/>
    <mergeCell ref="A19:H19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2" customWidth="1" min="5" max="5"/>
    <col width="10" customWidth="1" min="6" max="6"/>
    <col width="10" customWidth="1" min="7" max="7"/>
    <col width="12" customWidth="1" min="8" max="8"/>
    <col width="12" customWidth="1" min="9" max="9"/>
  </cols>
  <sheetData>
    <row r="1">
      <c r="A1" s="34" t="inlineStr">
        <is>
          <t>SEGMENT PERFORMANCE</t>
        </is>
      </c>
    </row>
    <row r="2">
      <c r="A2" s="2" t="inlineStr">
        <is>
          <t>Branded / Competitor / Non-Branded Breakdown</t>
        </is>
      </c>
    </row>
    <row r="4">
      <c r="A4" s="25" t="inlineStr">
        <is>
          <t>PERFORMANCE BY SEGMENT</t>
        </is>
      </c>
    </row>
    <row r="5">
      <c r="A5" s="5" t="inlineStr">
        <is>
          <t>Segment</t>
        </is>
      </c>
      <c r="B5" s="5" t="inlineStr">
        <is>
          <t>Spend</t>
        </is>
      </c>
      <c r="C5" s="5" t="inlineStr">
        <is>
          <t>Spend %</t>
        </is>
      </c>
      <c r="D5" s="5" t="inlineStr">
        <is>
          <t>Sales</t>
        </is>
      </c>
      <c r="E5" s="5" t="inlineStr">
        <is>
          <t>Sales %</t>
        </is>
      </c>
      <c r="F5" s="5" t="inlineStr">
        <is>
          <t>ROAS</t>
        </is>
      </c>
      <c r="G5" s="5" t="inlineStr">
        <is>
          <t>ACoS</t>
        </is>
      </c>
      <c r="H5" s="5" t="inlineStr">
        <is>
          <t>MoM Spend</t>
        </is>
      </c>
      <c r="I5" s="5" t="inlineStr">
        <is>
          <t>MoM Sales</t>
        </is>
      </c>
    </row>
    <row r="6">
      <c r="A6" s="48" t="inlineStr">
        <is>
          <t>Branded</t>
        </is>
      </c>
      <c r="B6" s="49">
        <f>SUMIFS('Campaign Data'!Q:Q,'Campaign Data'!A:A,"&gt;="&amp;Settings!B6,'Campaign Data'!A:A,"&lt;="&amp;Settings!B7,'Campaign Data'!Z:Z,"Branded")</f>
        <v/>
      </c>
      <c r="C6" s="50">
        <f>IF(SUM(B6:B8)&gt;0,B6/SUM(B6:B8),0)</f>
        <v/>
      </c>
      <c r="D6" s="49">
        <f>SUMIFS('Campaign Data'!X:X,'Campaign Data'!A:A,"&gt;="&amp;Settings!B6,'Campaign Data'!A:A,"&lt;="&amp;Settings!B7,'Campaign Data'!Z:Z,"Branded")</f>
        <v/>
      </c>
      <c r="E6" s="50">
        <f>IF(SUM(D6:D8)&gt;0,D6/SUM(D6:D8),0)</f>
        <v/>
      </c>
      <c r="F6" s="51">
        <f>IF(B6&gt;0,D6/B6,0)</f>
        <v/>
      </c>
      <c r="G6" s="50">
        <f>IF(D6&gt;0,B6/D6,0)</f>
        <v/>
      </c>
      <c r="H6" s="50" t="n"/>
      <c r="I6" s="50" t="n"/>
    </row>
    <row r="7">
      <c r="A7" s="52" t="inlineStr">
        <is>
          <t>Competitor</t>
        </is>
      </c>
      <c r="B7" s="49">
        <f>SUMIFS('Campaign Data'!Q:Q,'Campaign Data'!A:A,"&gt;="&amp;Settings!B6,'Campaign Data'!A:A,"&lt;="&amp;Settings!B7,'Campaign Data'!Z:Z,"Competitor")</f>
        <v/>
      </c>
      <c r="C7" s="50">
        <f>IF(SUM(B6:B8)&gt;0,B7/SUM(B6:B8),0)</f>
        <v/>
      </c>
      <c r="D7" s="49">
        <f>SUMIFS('Campaign Data'!X:X,'Campaign Data'!A:A,"&gt;="&amp;Settings!B6,'Campaign Data'!A:A,"&lt;="&amp;Settings!B7,'Campaign Data'!Z:Z,"Competitor")</f>
        <v/>
      </c>
      <c r="E7" s="50">
        <f>IF(SUM(D6:D8)&gt;0,D7/SUM(D6:D8),0)</f>
        <v/>
      </c>
      <c r="F7" s="51">
        <f>IF(B7&gt;0,D7/B7,0)</f>
        <v/>
      </c>
      <c r="G7" s="50">
        <f>IF(D7&gt;0,B7/D7,0)</f>
        <v/>
      </c>
      <c r="H7" s="50" t="n"/>
      <c r="I7" s="50" t="n"/>
    </row>
    <row r="8">
      <c r="A8" s="53" t="inlineStr">
        <is>
          <t>Non-Branded</t>
        </is>
      </c>
      <c r="B8" s="49">
        <f>SUMIFS('Campaign Data'!Q:Q,'Campaign Data'!A:A,"&gt;="&amp;Settings!B6,'Campaign Data'!A:A,"&lt;="&amp;Settings!B7,'Campaign Data'!Z:Z,"Non-Branded")</f>
        <v/>
      </c>
      <c r="C8" s="50">
        <f>IF(SUM(B6:B8)&gt;0,B8/SUM(B6:B8),0)</f>
        <v/>
      </c>
      <c r="D8" s="49">
        <f>SUMIFS('Campaign Data'!X:X,'Campaign Data'!A:A,"&gt;="&amp;Settings!B6,'Campaign Data'!A:A,"&lt;="&amp;Settings!B7,'Campaign Data'!Z:Z,"Non-Branded")</f>
        <v/>
      </c>
      <c r="E8" s="50">
        <f>IF(SUM(D6:D8)&gt;0,D8/SUM(D6:D8),0)</f>
        <v/>
      </c>
      <c r="F8" s="51">
        <f>IF(B8&gt;0,D8/B8,0)</f>
        <v/>
      </c>
      <c r="G8" s="50">
        <f>IF(D8&gt;0,B8/D8,0)</f>
        <v/>
      </c>
      <c r="H8" s="50" t="n"/>
      <c r="I8" s="50" t="n"/>
    </row>
    <row r="9">
      <c r="A9" s="54" t="inlineStr">
        <is>
          <t>TOTAL</t>
        </is>
      </c>
      <c r="B9" s="55">
        <f>SUM(B6:B8)</f>
        <v/>
      </c>
      <c r="C9" s="54" t="inlineStr">
        <is>
          <t>100%</t>
        </is>
      </c>
      <c r="D9" s="55">
        <f>SUM(D6:D8)</f>
        <v/>
      </c>
      <c r="E9" s="54" t="inlineStr">
        <is>
          <t>100%</t>
        </is>
      </c>
      <c r="F9" s="56">
        <f>IF(B9&gt;0,D9/B9,0)</f>
        <v/>
      </c>
      <c r="G9" s="57">
        <f>IF(D9&gt;0,B9/D9,0)</f>
        <v/>
      </c>
      <c r="H9" s="54" t="n"/>
      <c r="I9" s="54" t="n"/>
    </row>
    <row r="12">
      <c r="A12" s="25" t="inlineStr">
        <is>
          <t>SEGMENT BY PORTFOLIO</t>
        </is>
      </c>
    </row>
    <row r="13">
      <c r="A13" s="5" t="inlineStr">
        <is>
          <t>Segment</t>
        </is>
      </c>
      <c r="B13" s="58" t="inlineStr">
        <is>
          <t>JN Spend</t>
        </is>
      </c>
      <c r="C13" s="58" t="inlineStr">
        <is>
          <t>JN Sales</t>
        </is>
      </c>
      <c r="D13" s="58" t="inlineStr">
        <is>
          <t>JN ROAS</t>
        </is>
      </c>
      <c r="E13" s="59" t="inlineStr">
        <is>
          <t>Non-JN Spend</t>
        </is>
      </c>
      <c r="F13" s="59" t="inlineStr">
        <is>
          <t>Non-JN Sales</t>
        </is>
      </c>
      <c r="G13" s="59" t="inlineStr">
        <is>
          <t>Non-JN ROAS</t>
        </is>
      </c>
    </row>
    <row r="14">
      <c r="A14" s="54" t="inlineStr">
        <is>
          <t>Branded</t>
        </is>
      </c>
      <c r="B14" s="49">
        <f>SUMIFS('Campaign Data'!Q:Q,'Campaign Data'!A:A,"&gt;="&amp;Settings!B6,'Campaign Data'!A:A,"&lt;="&amp;Settings!B7,'Campaign Data'!Z:Z,"Branded",'Campaign Data'!Y:Y,"JN")</f>
        <v/>
      </c>
      <c r="C14" s="49">
        <f>SUMIFS('Campaign Data'!X:X,'Campaign Data'!A:A,"&gt;="&amp;Settings!B6,'Campaign Data'!A:A,"&lt;="&amp;Settings!B7,'Campaign Data'!Z:Z,"Branded",'Campaign Data'!Y:Y,"JN")</f>
        <v/>
      </c>
      <c r="D14" s="51">
        <f>IF(B14&gt;0,C14/B14,0)</f>
        <v/>
      </c>
      <c r="E14" s="49">
        <f>SUMIFS('Campaign Data'!Q:Q,'Campaign Data'!A:A,"&gt;="&amp;Settings!B6,'Campaign Data'!A:A,"&lt;="&amp;Settings!B7,'Campaign Data'!Z:Z,"Branded",'Campaign Data'!Y:Y,"Non-JN")</f>
        <v/>
      </c>
      <c r="F14" s="49">
        <f>SUMIFS('Campaign Data'!X:X,'Campaign Data'!A:A,"&gt;="&amp;Settings!B6,'Campaign Data'!A:A,"&lt;="&amp;Settings!B7,'Campaign Data'!Z:Z,"Branded",'Campaign Data'!Y:Y,"Non-JN")</f>
        <v/>
      </c>
      <c r="G14" s="51">
        <f>IF(E14&gt;0,F14/E14,0)</f>
        <v/>
      </c>
    </row>
    <row r="15">
      <c r="A15" s="54" t="inlineStr">
        <is>
          <t>Competitor</t>
        </is>
      </c>
      <c r="B15" s="49">
        <f>SUMIFS('Campaign Data'!Q:Q,'Campaign Data'!A:A,"&gt;="&amp;Settings!B6,'Campaign Data'!A:A,"&lt;="&amp;Settings!B7,'Campaign Data'!Z:Z,"Competitor",'Campaign Data'!Y:Y,"JN")</f>
        <v/>
      </c>
      <c r="C15" s="49">
        <f>SUMIFS('Campaign Data'!X:X,'Campaign Data'!A:A,"&gt;="&amp;Settings!B6,'Campaign Data'!A:A,"&lt;="&amp;Settings!B7,'Campaign Data'!Z:Z,"Competitor",'Campaign Data'!Y:Y,"JN")</f>
        <v/>
      </c>
      <c r="D15" s="51">
        <f>IF(B15&gt;0,C15/B15,0)</f>
        <v/>
      </c>
      <c r="E15" s="49">
        <f>SUMIFS('Campaign Data'!Q:Q,'Campaign Data'!A:A,"&gt;="&amp;Settings!B6,'Campaign Data'!A:A,"&lt;="&amp;Settings!B7,'Campaign Data'!Z:Z,"Competitor",'Campaign Data'!Y:Y,"Non-JN")</f>
        <v/>
      </c>
      <c r="F15" s="49">
        <f>SUMIFS('Campaign Data'!X:X,'Campaign Data'!A:A,"&gt;="&amp;Settings!B6,'Campaign Data'!A:A,"&lt;="&amp;Settings!B7,'Campaign Data'!Z:Z,"Competitor",'Campaign Data'!Y:Y,"Non-JN")</f>
        <v/>
      </c>
      <c r="G15" s="51">
        <f>IF(E15&gt;0,F15/E15,0)</f>
        <v/>
      </c>
    </row>
    <row r="16">
      <c r="A16" s="54" t="inlineStr">
        <is>
          <t>Non-Branded</t>
        </is>
      </c>
      <c r="B16" s="49">
        <f>SUMIFS('Campaign Data'!Q:Q,'Campaign Data'!A:A,"&gt;="&amp;Settings!B6,'Campaign Data'!A:A,"&lt;="&amp;Settings!B7,'Campaign Data'!Z:Z,"Non-Branded",'Campaign Data'!Y:Y,"JN")</f>
        <v/>
      </c>
      <c r="C16" s="49">
        <f>SUMIFS('Campaign Data'!X:X,'Campaign Data'!A:A,"&gt;="&amp;Settings!B6,'Campaign Data'!A:A,"&lt;="&amp;Settings!B7,'Campaign Data'!Z:Z,"Non-Branded",'Campaign Data'!Y:Y,"JN")</f>
        <v/>
      </c>
      <c r="D16" s="51">
        <f>IF(B16&gt;0,C16/B16,0)</f>
        <v/>
      </c>
      <c r="E16" s="49">
        <f>SUMIFS('Campaign Data'!Q:Q,'Campaign Data'!A:A,"&gt;="&amp;Settings!B6,'Campaign Data'!A:A,"&lt;="&amp;Settings!B7,'Campaign Data'!Z:Z,"Non-Branded",'Campaign Data'!Y:Y,"Non-JN")</f>
        <v/>
      </c>
      <c r="F16" s="49">
        <f>SUMIFS('Campaign Data'!X:X,'Campaign Data'!A:A,"&gt;="&amp;Settings!B6,'Campaign Data'!A:A,"&lt;="&amp;Settings!B7,'Campaign Data'!Z:Z,"Non-Branded",'Campaign Data'!Y:Y,"Non-JN")</f>
        <v/>
      </c>
      <c r="G16" s="51">
        <f>IF(E16&gt;0,F16/E16,0)</f>
        <v/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4" t="inlineStr">
        <is>
          <t>PERFORMANCE TRENDS</t>
        </is>
      </c>
    </row>
    <row r="2">
      <c r="A2" t="inlineStr">
        <is>
          <t>Time Period:</t>
        </is>
      </c>
      <c r="B2" s="6">
        <f>Settings!B5</f>
        <v/>
      </c>
      <c r="C2" t="inlineStr">
        <is>
          <t>Portfolio:</t>
        </is>
      </c>
      <c r="D2" s="6">
        <f>Settings!B4</f>
        <v/>
      </c>
    </row>
    <row r="4">
      <c r="A4" s="25" t="inlineStr">
        <is>
          <t>WEEKLY PERFORMANCE</t>
        </is>
      </c>
    </row>
    <row r="5">
      <c r="A5" s="5" t="inlineStr">
        <is>
          <t>Week</t>
        </is>
      </c>
      <c r="B5" s="5" t="inlineStr">
        <is>
          <t>Spend</t>
        </is>
      </c>
      <c r="C5" s="5" t="inlineStr">
        <is>
          <t>Sales</t>
        </is>
      </c>
      <c r="D5" s="5" t="inlineStr">
        <is>
          <t>ROAS</t>
        </is>
      </c>
      <c r="E5" s="5" t="inlineStr">
        <is>
          <t>ACoS</t>
        </is>
      </c>
      <c r="F5" s="5" t="inlineStr">
        <is>
          <t>WoW Spend %</t>
        </is>
      </c>
      <c r="G5" s="5" t="inlineStr">
        <is>
          <t>WoW Sales %</t>
        </is>
      </c>
      <c r="H5" s="5" t="inlineStr">
        <is>
          <t>WoW ROAS %</t>
        </is>
      </c>
    </row>
    <row r="6">
      <c r="A6" s="60" t="n"/>
      <c r="B6" s="43" t="n"/>
      <c r="C6" s="43" t="n"/>
      <c r="D6" s="44" t="n"/>
      <c r="E6" s="45" t="n"/>
      <c r="F6" s="45" t="n"/>
      <c r="G6" s="45" t="n"/>
      <c r="H6" s="45" t="n"/>
    </row>
    <row r="7">
      <c r="A7" s="60" t="n"/>
      <c r="B7" s="43" t="n"/>
      <c r="C7" s="43" t="n"/>
      <c r="D7" s="44" t="n"/>
      <c r="E7" s="45" t="n"/>
      <c r="F7" s="45" t="n"/>
      <c r="G7" s="45" t="n"/>
      <c r="H7" s="45" t="n"/>
    </row>
    <row r="8">
      <c r="A8" s="60" t="n"/>
      <c r="B8" s="43" t="n"/>
      <c r="C8" s="43" t="n"/>
      <c r="D8" s="44" t="n"/>
      <c r="E8" s="45" t="n"/>
      <c r="F8" s="45" t="n"/>
      <c r="G8" s="45" t="n"/>
      <c r="H8" s="45" t="n"/>
    </row>
    <row r="9">
      <c r="A9" s="60" t="n"/>
      <c r="B9" s="43" t="n"/>
      <c r="C9" s="43" t="n"/>
      <c r="D9" s="44" t="n"/>
      <c r="E9" s="45" t="n"/>
      <c r="F9" s="45" t="n"/>
      <c r="G9" s="45" t="n"/>
      <c r="H9" s="45" t="n"/>
    </row>
    <row r="10">
      <c r="A10" s="60" t="n"/>
      <c r="B10" s="43" t="n"/>
      <c r="C10" s="43" t="n"/>
      <c r="D10" s="44" t="n"/>
      <c r="E10" s="45" t="n"/>
      <c r="F10" s="45" t="n"/>
      <c r="G10" s="45" t="n"/>
      <c r="H10" s="45" t="n"/>
    </row>
    <row r="11">
      <c r="A11" s="60" t="n"/>
      <c r="B11" s="43" t="n"/>
      <c r="C11" s="43" t="n"/>
      <c r="D11" s="44" t="n"/>
      <c r="E11" s="45" t="n"/>
      <c r="F11" s="45" t="n"/>
      <c r="G11" s="45" t="n"/>
      <c r="H11" s="45" t="n"/>
    </row>
    <row r="12">
      <c r="A12" s="60" t="n"/>
      <c r="B12" s="43" t="n"/>
      <c r="C12" s="43" t="n"/>
      <c r="D12" s="44" t="n"/>
      <c r="E12" s="45" t="n"/>
      <c r="F12" s="45" t="n"/>
      <c r="G12" s="45" t="n"/>
      <c r="H12" s="45" t="n"/>
    </row>
    <row r="13">
      <c r="A13" s="60" t="n"/>
      <c r="B13" s="43" t="n"/>
      <c r="C13" s="43" t="n"/>
      <c r="D13" s="44" t="n"/>
      <c r="E13" s="45" t="n"/>
      <c r="F13" s="45" t="n"/>
      <c r="G13" s="45" t="n"/>
      <c r="H13" s="45" t="n"/>
    </row>
    <row r="14">
      <c r="A14" s="60" t="n"/>
      <c r="B14" s="43" t="n"/>
      <c r="C14" s="43" t="n"/>
      <c r="D14" s="44" t="n"/>
      <c r="E14" s="45" t="n"/>
      <c r="F14" s="45" t="n"/>
      <c r="G14" s="45" t="n"/>
      <c r="H14" s="45" t="n"/>
    </row>
    <row r="15">
      <c r="A15" s="60" t="n"/>
      <c r="B15" s="43" t="n"/>
      <c r="C15" s="43" t="n"/>
      <c r="D15" s="44" t="n"/>
      <c r="E15" s="45" t="n"/>
      <c r="F15" s="45" t="n"/>
      <c r="G15" s="45" t="n"/>
      <c r="H15" s="45" t="n"/>
    </row>
    <row r="16">
      <c r="A16" s="60" t="n"/>
      <c r="B16" s="43" t="n"/>
      <c r="C16" s="43" t="n"/>
      <c r="D16" s="44" t="n"/>
      <c r="E16" s="45" t="n"/>
      <c r="F16" s="45" t="n"/>
      <c r="G16" s="45" t="n"/>
      <c r="H16" s="45" t="n"/>
    </row>
    <row r="17">
      <c r="A17" s="60" t="n"/>
      <c r="B17" s="43" t="n"/>
      <c r="C17" s="43" t="n"/>
      <c r="D17" s="44" t="n"/>
      <c r="E17" s="45" t="n"/>
      <c r="F17" s="45" t="n"/>
      <c r="G17" s="45" t="n"/>
      <c r="H17" s="45" t="n"/>
    </row>
    <row r="20">
      <c r="A20" s="25" t="inlineStr">
        <is>
          <t>MONTHLY PERFORMANCE</t>
        </is>
      </c>
    </row>
    <row r="21">
      <c r="A21" s="5" t="inlineStr">
        <is>
          <t>Month</t>
        </is>
      </c>
      <c r="B21" s="5" t="inlineStr">
        <is>
          <t>Spend</t>
        </is>
      </c>
      <c r="C21" s="5" t="inlineStr">
        <is>
          <t>Sales</t>
        </is>
      </c>
      <c r="D21" s="5" t="inlineStr">
        <is>
          <t>ROAS</t>
        </is>
      </c>
      <c r="E21" s="5" t="inlineStr">
        <is>
          <t>ACoS</t>
        </is>
      </c>
      <c r="F21" s="5" t="inlineStr">
        <is>
          <t>Orders</t>
        </is>
      </c>
      <c r="G21" s="5" t="inlineStr">
        <is>
          <t>Clicks</t>
        </is>
      </c>
      <c r="H21" s="5" t="inlineStr">
        <is>
          <t>CVR</t>
        </is>
      </c>
      <c r="I21" s="5" t="inlineStr">
        <is>
          <t>MoM Spend</t>
        </is>
      </c>
      <c r="J21" s="5" t="inlineStr">
        <is>
          <t>MoM Sales</t>
        </is>
      </c>
    </row>
    <row r="22">
      <c r="A22" s="60" t="n"/>
      <c r="B22" s="60" t="n"/>
      <c r="C22" s="60" t="n"/>
      <c r="D22" s="60" t="n"/>
      <c r="E22" s="60" t="n"/>
      <c r="F22" s="60" t="n"/>
      <c r="G22" s="60" t="n"/>
      <c r="H22" s="60" t="n"/>
      <c r="I22" s="60" t="n"/>
      <c r="J22" s="60" t="n"/>
    </row>
    <row r="23">
      <c r="A23" s="60" t="n"/>
      <c r="B23" s="60" t="n"/>
      <c r="C23" s="60" t="n"/>
      <c r="D23" s="60" t="n"/>
      <c r="E23" s="60" t="n"/>
      <c r="F23" s="60" t="n"/>
      <c r="G23" s="60" t="n"/>
      <c r="H23" s="60" t="n"/>
      <c r="I23" s="60" t="n"/>
      <c r="J23" s="60" t="n"/>
    </row>
    <row r="24">
      <c r="A24" s="60" t="n"/>
      <c r="B24" s="60" t="n"/>
      <c r="C24" s="60" t="n"/>
      <c r="D24" s="60" t="n"/>
      <c r="E24" s="60" t="n"/>
      <c r="F24" s="60" t="n"/>
      <c r="G24" s="60" t="n"/>
      <c r="H24" s="60" t="n"/>
      <c r="I24" s="60" t="n"/>
      <c r="J24" s="60" t="n"/>
    </row>
    <row r="25">
      <c r="A25" s="60" t="n"/>
      <c r="B25" s="60" t="n"/>
      <c r="C25" s="60" t="n"/>
      <c r="D25" s="60" t="n"/>
      <c r="E25" s="60" t="n"/>
      <c r="F25" s="60" t="n"/>
      <c r="G25" s="60" t="n"/>
      <c r="H25" s="60" t="n"/>
      <c r="I25" s="60" t="n"/>
      <c r="J25" s="60" t="n"/>
    </row>
    <row r="26">
      <c r="A26" s="60" t="n"/>
      <c r="B26" s="60" t="n"/>
      <c r="C26" s="60" t="n"/>
      <c r="D26" s="60" t="n"/>
      <c r="E26" s="60" t="n"/>
      <c r="F26" s="60" t="n"/>
      <c r="G26" s="60" t="n"/>
      <c r="H26" s="60" t="n"/>
      <c r="I26" s="60" t="n"/>
      <c r="J26" s="60" t="n"/>
    </row>
    <row r="27">
      <c r="A27" s="60" t="n"/>
      <c r="B27" s="60" t="n"/>
      <c r="C27" s="60" t="n"/>
      <c r="D27" s="60" t="n"/>
      <c r="E27" s="60" t="n"/>
      <c r="F27" s="60" t="n"/>
      <c r="G27" s="60" t="n"/>
      <c r="H27" s="60" t="n"/>
      <c r="I27" s="60" t="n"/>
      <c r="J27" s="60" t="n"/>
    </row>
    <row r="28">
      <c r="A28" s="60" t="n"/>
      <c r="B28" s="60" t="n"/>
      <c r="C28" s="60" t="n"/>
      <c r="D28" s="60" t="n"/>
      <c r="E28" s="60" t="n"/>
      <c r="F28" s="60" t="n"/>
      <c r="G28" s="60" t="n"/>
      <c r="H28" s="60" t="n"/>
      <c r="I28" s="60" t="n"/>
      <c r="J28" s="60" t="n"/>
    </row>
    <row r="29">
      <c r="A29" s="60" t="n"/>
      <c r="B29" s="60" t="n"/>
      <c r="C29" s="60" t="n"/>
      <c r="D29" s="60" t="n"/>
      <c r="E29" s="60" t="n"/>
      <c r="F29" s="60" t="n"/>
      <c r="G29" s="60" t="n"/>
      <c r="H29" s="60" t="n"/>
      <c r="I29" s="60" t="n"/>
      <c r="J29" s="60" t="n"/>
    </row>
    <row r="30">
      <c r="A30" s="60" t="n"/>
      <c r="B30" s="60" t="n"/>
      <c r="C30" s="60" t="n"/>
      <c r="D30" s="60" t="n"/>
      <c r="E30" s="60" t="n"/>
      <c r="F30" s="60" t="n"/>
      <c r="G30" s="60" t="n"/>
      <c r="H30" s="60" t="n"/>
      <c r="I30" s="60" t="n"/>
      <c r="J30" s="60" t="n"/>
    </row>
    <row r="31">
      <c r="A31" s="60" t="n"/>
      <c r="B31" s="60" t="n"/>
      <c r="C31" s="60" t="n"/>
      <c r="D31" s="60" t="n"/>
      <c r="E31" s="60" t="n"/>
      <c r="F31" s="60" t="n"/>
      <c r="G31" s="60" t="n"/>
      <c r="H31" s="60" t="n"/>
      <c r="I31" s="60" t="n"/>
      <c r="J31" s="60" t="n"/>
    </row>
    <row r="32">
      <c r="A32" s="60" t="n"/>
      <c r="B32" s="60" t="n"/>
      <c r="C32" s="60" t="n"/>
      <c r="D32" s="60" t="n"/>
      <c r="E32" s="60" t="n"/>
      <c r="F32" s="60" t="n"/>
      <c r="G32" s="60" t="n"/>
      <c r="H32" s="60" t="n"/>
      <c r="I32" s="60" t="n"/>
      <c r="J32" s="60" t="n"/>
    </row>
    <row r="33">
      <c r="A33" s="60" t="n"/>
      <c r="B33" s="60" t="n"/>
      <c r="C33" s="60" t="n"/>
      <c r="D33" s="60" t="n"/>
      <c r="E33" s="60" t="n"/>
      <c r="F33" s="60" t="n"/>
      <c r="G33" s="60" t="n"/>
      <c r="H33" s="60" t="n"/>
      <c r="I33" s="60" t="n"/>
      <c r="J33" s="60" t="n"/>
    </row>
    <row r="36">
      <c r="A36" s="25" t="inlineStr">
        <is>
          <t>SEGMENT TRENDS BY MONTH</t>
        </is>
      </c>
    </row>
    <row r="38">
      <c r="A38" s="61" t="inlineStr">
        <is>
          <t>Branded</t>
        </is>
      </c>
    </row>
    <row r="48">
      <c r="A48" s="62" t="inlineStr">
        <is>
          <t>Competitor</t>
        </is>
      </c>
    </row>
    <row r="58">
      <c r="A58" s="63" t="inlineStr">
        <is>
          <t>Non-Branded</t>
        </is>
      </c>
    </row>
  </sheetData>
  <mergeCells count="1">
    <mergeCell ref="A1:L1"/>
  </mergeCells>
  <conditionalFormatting sqref="F6:F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G6:G1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H6:H17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I22:I3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J22:J33">
    <cfRule type="cellIs" priority="9" operator="greaterThan" dxfId="0">
      <formula>0</formula>
    </cfRule>
    <cfRule type="cellIs" priority="10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34" t="inlineStr">
        <is>
          <t>MONTH-OVER-MONTH ANALYSIS</t>
        </is>
      </c>
    </row>
    <row r="3">
      <c r="A3" s="5" t="inlineStr">
        <is>
          <t>Month</t>
        </is>
      </c>
      <c r="B3" s="5" t="inlineStr">
        <is>
          <t>Spend</t>
        </is>
      </c>
      <c r="C3" s="5" t="inlineStr">
        <is>
          <t>Spend Chg</t>
        </is>
      </c>
      <c r="D3" s="5" t="inlineStr">
        <is>
          <t>Spend %</t>
        </is>
      </c>
      <c r="E3" s="5" t="inlineStr">
        <is>
          <t>Sales</t>
        </is>
      </c>
      <c r="F3" s="5" t="inlineStr">
        <is>
          <t>Sales Chg</t>
        </is>
      </c>
      <c r="G3" s="5" t="inlineStr">
        <is>
          <t>Sales %</t>
        </is>
      </c>
      <c r="H3" s="5" t="inlineStr">
        <is>
          <t>ROAS</t>
        </is>
      </c>
      <c r="I3" s="5" t="inlineStr">
        <is>
          <t>ROAS Chg</t>
        </is>
      </c>
      <c r="J3" s="5" t="inlineStr">
        <is>
          <t>ACoS</t>
        </is>
      </c>
    </row>
    <row r="4">
      <c r="A4" s="60" t="n"/>
      <c r="B4" s="43" t="n"/>
      <c r="C4" s="43" t="n"/>
      <c r="D4" s="45" t="n"/>
      <c r="E4" s="43" t="n"/>
      <c r="F4" s="43" t="n"/>
      <c r="G4" s="45" t="n"/>
      <c r="H4" s="44" t="n"/>
      <c r="I4" s="44" t="n"/>
      <c r="J4" s="45" t="n"/>
    </row>
    <row r="5">
      <c r="A5" s="60" t="n"/>
      <c r="B5" s="43" t="n"/>
      <c r="C5" s="43" t="n"/>
      <c r="D5" s="45" t="n"/>
      <c r="E5" s="43" t="n"/>
      <c r="F5" s="43" t="n"/>
      <c r="G5" s="45" t="n"/>
      <c r="H5" s="44" t="n"/>
      <c r="I5" s="44" t="n"/>
      <c r="J5" s="45" t="n"/>
    </row>
    <row r="6">
      <c r="A6" s="60" t="n"/>
      <c r="B6" s="43" t="n"/>
      <c r="C6" s="43" t="n"/>
      <c r="D6" s="45" t="n"/>
      <c r="E6" s="43" t="n"/>
      <c r="F6" s="43" t="n"/>
      <c r="G6" s="45" t="n"/>
      <c r="H6" s="44" t="n"/>
      <c r="I6" s="44" t="n"/>
      <c r="J6" s="45" t="n"/>
    </row>
    <row r="7">
      <c r="A7" s="60" t="n"/>
      <c r="B7" s="43" t="n"/>
      <c r="C7" s="43" t="n"/>
      <c r="D7" s="45" t="n"/>
      <c r="E7" s="43" t="n"/>
      <c r="F7" s="43" t="n"/>
      <c r="G7" s="45" t="n"/>
      <c r="H7" s="44" t="n"/>
      <c r="I7" s="44" t="n"/>
      <c r="J7" s="45" t="n"/>
    </row>
    <row r="8">
      <c r="A8" s="60" t="n"/>
      <c r="B8" s="43" t="n"/>
      <c r="C8" s="43" t="n"/>
      <c r="D8" s="45" t="n"/>
      <c r="E8" s="43" t="n"/>
      <c r="F8" s="43" t="n"/>
      <c r="G8" s="45" t="n"/>
      <c r="H8" s="44" t="n"/>
      <c r="I8" s="44" t="n"/>
      <c r="J8" s="45" t="n"/>
    </row>
    <row r="9">
      <c r="A9" s="60" t="n"/>
      <c r="B9" s="43" t="n"/>
      <c r="C9" s="43" t="n"/>
      <c r="D9" s="45" t="n"/>
      <c r="E9" s="43" t="n"/>
      <c r="F9" s="43" t="n"/>
      <c r="G9" s="45" t="n"/>
      <c r="H9" s="44" t="n"/>
      <c r="I9" s="44" t="n"/>
      <c r="J9" s="45" t="n"/>
    </row>
    <row r="10">
      <c r="A10" s="60" t="n"/>
      <c r="B10" s="43" t="n"/>
      <c r="C10" s="43" t="n"/>
      <c r="D10" s="45" t="n"/>
      <c r="E10" s="43" t="n"/>
      <c r="F10" s="43" t="n"/>
      <c r="G10" s="45" t="n"/>
      <c r="H10" s="44" t="n"/>
      <c r="I10" s="44" t="n"/>
      <c r="J10" s="45" t="n"/>
    </row>
    <row r="11">
      <c r="A11" s="60" t="n"/>
      <c r="B11" s="43" t="n"/>
      <c r="C11" s="43" t="n"/>
      <c r="D11" s="45" t="n"/>
      <c r="E11" s="43" t="n"/>
      <c r="F11" s="43" t="n"/>
      <c r="G11" s="45" t="n"/>
      <c r="H11" s="44" t="n"/>
      <c r="I11" s="44" t="n"/>
      <c r="J11" s="45" t="n"/>
    </row>
    <row r="12">
      <c r="A12" s="60" t="n"/>
      <c r="B12" s="43" t="n"/>
      <c r="C12" s="43" t="n"/>
      <c r="D12" s="45" t="n"/>
      <c r="E12" s="43" t="n"/>
      <c r="F12" s="43" t="n"/>
      <c r="G12" s="45" t="n"/>
      <c r="H12" s="44" t="n"/>
      <c r="I12" s="44" t="n"/>
      <c r="J12" s="45" t="n"/>
    </row>
    <row r="13">
      <c r="A13" s="60" t="n"/>
      <c r="B13" s="43" t="n"/>
      <c r="C13" s="43" t="n"/>
      <c r="D13" s="45" t="n"/>
      <c r="E13" s="43" t="n"/>
      <c r="F13" s="43" t="n"/>
      <c r="G13" s="45" t="n"/>
      <c r="H13" s="44" t="n"/>
      <c r="I13" s="44" t="n"/>
      <c r="J13" s="45" t="n"/>
    </row>
    <row r="14">
      <c r="A14" s="60" t="n"/>
      <c r="B14" s="43" t="n"/>
      <c r="C14" s="43" t="n"/>
      <c r="D14" s="45" t="n"/>
      <c r="E14" s="43" t="n"/>
      <c r="F14" s="43" t="n"/>
      <c r="G14" s="45" t="n"/>
      <c r="H14" s="44" t="n"/>
      <c r="I14" s="44" t="n"/>
      <c r="J14" s="45" t="n"/>
    </row>
    <row r="15">
      <c r="A15" s="60" t="n"/>
      <c r="B15" s="43" t="n"/>
      <c r="C15" s="43" t="n"/>
      <c r="D15" s="45" t="n"/>
      <c r="E15" s="43" t="n"/>
      <c r="F15" s="43" t="n"/>
      <c r="G15" s="45" t="n"/>
      <c r="H15" s="44" t="n"/>
      <c r="I15" s="44" t="n"/>
      <c r="J15" s="45" t="n"/>
    </row>
  </sheetData>
  <mergeCells count="1">
    <mergeCell ref="A1:J1"/>
  </mergeCells>
  <conditionalFormatting sqref="C4:C1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4:D1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4:F1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4:G1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I4:I15">
    <cfRule type="cellIs" priority="9" operator="greaterThan" dxfId="0">
      <formula>0</formula>
    </cfRule>
    <cfRule type="cellIs" priority="10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  <col width="10" customWidth="1" min="5" max="5"/>
    <col width="1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34" t="inlineStr">
        <is>
          <t>WEEK-OVER-WEEK ANALYSIS</t>
        </is>
      </c>
    </row>
    <row r="3">
      <c r="A3" s="5" t="inlineStr">
        <is>
          <t>Week</t>
        </is>
      </c>
      <c r="B3" s="5" t="inlineStr">
        <is>
          <t>Date Range</t>
        </is>
      </c>
      <c r="C3" s="5" t="inlineStr">
        <is>
          <t>Spend</t>
        </is>
      </c>
      <c r="D3" s="5" t="inlineStr">
        <is>
          <t>Spend Chg</t>
        </is>
      </c>
      <c r="E3" s="5" t="inlineStr">
        <is>
          <t>Spend %</t>
        </is>
      </c>
      <c r="F3" s="5" t="inlineStr">
        <is>
          <t>Sales</t>
        </is>
      </c>
      <c r="G3" s="5" t="inlineStr">
        <is>
          <t>Sales Chg</t>
        </is>
      </c>
      <c r="H3" s="5" t="inlineStr">
        <is>
          <t>Sales %</t>
        </is>
      </c>
      <c r="I3" s="5" t="inlineStr">
        <is>
          <t>ROAS</t>
        </is>
      </c>
      <c r="J3" s="5" t="inlineStr">
        <is>
          <t>ACoS</t>
        </is>
      </c>
      <c r="K3" s="5" t="inlineStr">
        <is>
          <t>Orders</t>
        </is>
      </c>
    </row>
    <row r="4">
      <c r="A4" s="60" t="n"/>
      <c r="B4" s="60" t="n"/>
      <c r="C4" s="60" t="n"/>
      <c r="D4" s="60" t="n"/>
      <c r="E4" s="60" t="n"/>
      <c r="F4" s="60" t="n"/>
      <c r="G4" s="60" t="n"/>
      <c r="H4" s="60" t="n"/>
      <c r="I4" s="60" t="n"/>
      <c r="J4" s="60" t="n"/>
      <c r="K4" s="60" t="n"/>
    </row>
    <row r="5">
      <c r="A5" s="60" t="n"/>
      <c r="B5" s="60" t="n"/>
      <c r="C5" s="60" t="n"/>
      <c r="D5" s="60" t="n"/>
      <c r="E5" s="60" t="n"/>
      <c r="F5" s="60" t="n"/>
      <c r="G5" s="60" t="n"/>
      <c r="H5" s="60" t="n"/>
      <c r="I5" s="60" t="n"/>
      <c r="J5" s="60" t="n"/>
      <c r="K5" s="60" t="n"/>
    </row>
    <row r="6">
      <c r="A6" s="60" t="n"/>
      <c r="B6" s="60" t="n"/>
      <c r="C6" s="60" t="n"/>
      <c r="D6" s="60" t="n"/>
      <c r="E6" s="60" t="n"/>
      <c r="F6" s="60" t="n"/>
      <c r="G6" s="60" t="n"/>
      <c r="H6" s="60" t="n"/>
      <c r="I6" s="60" t="n"/>
      <c r="J6" s="60" t="n"/>
      <c r="K6" s="60" t="n"/>
    </row>
    <row r="7">
      <c r="A7" s="60" t="n"/>
      <c r="B7" s="60" t="n"/>
      <c r="C7" s="60" t="n"/>
      <c r="D7" s="60" t="n"/>
      <c r="E7" s="60" t="n"/>
      <c r="F7" s="60" t="n"/>
      <c r="G7" s="60" t="n"/>
      <c r="H7" s="60" t="n"/>
      <c r="I7" s="60" t="n"/>
      <c r="J7" s="60" t="n"/>
      <c r="K7" s="60" t="n"/>
    </row>
    <row r="8">
      <c r="A8" s="60" t="n"/>
      <c r="B8" s="60" t="n"/>
      <c r="C8" s="60" t="n"/>
      <c r="D8" s="60" t="n"/>
      <c r="E8" s="60" t="n"/>
      <c r="F8" s="60" t="n"/>
      <c r="G8" s="60" t="n"/>
      <c r="H8" s="60" t="n"/>
      <c r="I8" s="60" t="n"/>
      <c r="J8" s="60" t="n"/>
      <c r="K8" s="60" t="n"/>
    </row>
    <row r="9">
      <c r="A9" s="60" t="n"/>
      <c r="B9" s="60" t="n"/>
      <c r="C9" s="60" t="n"/>
      <c r="D9" s="60" t="n"/>
      <c r="E9" s="60" t="n"/>
      <c r="F9" s="60" t="n"/>
      <c r="G9" s="60" t="n"/>
      <c r="H9" s="60" t="n"/>
      <c r="I9" s="60" t="n"/>
      <c r="J9" s="60" t="n"/>
      <c r="K9" s="60" t="n"/>
    </row>
    <row r="10">
      <c r="A10" s="60" t="n"/>
      <c r="B10" s="60" t="n"/>
      <c r="C10" s="60" t="n"/>
      <c r="D10" s="60" t="n"/>
      <c r="E10" s="60" t="n"/>
      <c r="F10" s="60" t="n"/>
      <c r="G10" s="60" t="n"/>
      <c r="H10" s="60" t="n"/>
      <c r="I10" s="60" t="n"/>
      <c r="J10" s="60" t="n"/>
      <c r="K10" s="60" t="n"/>
    </row>
    <row r="11">
      <c r="A11" s="60" t="n"/>
      <c r="B11" s="60" t="n"/>
      <c r="C11" s="60" t="n"/>
      <c r="D11" s="60" t="n"/>
      <c r="E11" s="60" t="n"/>
      <c r="F11" s="60" t="n"/>
      <c r="G11" s="60" t="n"/>
      <c r="H11" s="60" t="n"/>
      <c r="I11" s="60" t="n"/>
      <c r="J11" s="60" t="n"/>
      <c r="K11" s="60" t="n"/>
    </row>
    <row r="12">
      <c r="A12" s="60" t="n"/>
      <c r="B12" s="60" t="n"/>
      <c r="C12" s="60" t="n"/>
      <c r="D12" s="60" t="n"/>
      <c r="E12" s="60" t="n"/>
      <c r="F12" s="60" t="n"/>
      <c r="G12" s="60" t="n"/>
      <c r="H12" s="60" t="n"/>
      <c r="I12" s="60" t="n"/>
      <c r="J12" s="60" t="n"/>
      <c r="K12" s="60" t="n"/>
    </row>
    <row r="13">
      <c r="A13" s="60" t="n"/>
      <c r="B13" s="60" t="n"/>
      <c r="C13" s="60" t="n"/>
      <c r="D13" s="60" t="n"/>
      <c r="E13" s="60" t="n"/>
      <c r="F13" s="60" t="n"/>
      <c r="G13" s="60" t="n"/>
      <c r="H13" s="60" t="n"/>
      <c r="I13" s="60" t="n"/>
      <c r="J13" s="60" t="n"/>
      <c r="K13" s="60" t="n"/>
    </row>
    <row r="14">
      <c r="A14" s="60" t="n"/>
      <c r="B14" s="60" t="n"/>
      <c r="C14" s="60" t="n"/>
      <c r="D14" s="60" t="n"/>
      <c r="E14" s="60" t="n"/>
      <c r="F14" s="60" t="n"/>
      <c r="G14" s="60" t="n"/>
      <c r="H14" s="60" t="n"/>
      <c r="I14" s="60" t="n"/>
      <c r="J14" s="60" t="n"/>
      <c r="K14" s="60" t="n"/>
    </row>
    <row r="15">
      <c r="A15" s="60" t="n"/>
      <c r="B15" s="60" t="n"/>
      <c r="C15" s="60" t="n"/>
      <c r="D15" s="60" t="n"/>
      <c r="E15" s="60" t="n"/>
      <c r="F15" s="60" t="n"/>
      <c r="G15" s="60" t="n"/>
      <c r="H15" s="60" t="n"/>
      <c r="I15" s="60" t="n"/>
      <c r="J15" s="60" t="n"/>
      <c r="K15" s="60" t="n"/>
    </row>
    <row r="16">
      <c r="A16" s="60" t="n"/>
      <c r="B16" s="60" t="n"/>
      <c r="C16" s="60" t="n"/>
      <c r="D16" s="60" t="n"/>
      <c r="E16" s="60" t="n"/>
      <c r="F16" s="60" t="n"/>
      <c r="G16" s="60" t="n"/>
      <c r="H16" s="60" t="n"/>
      <c r="I16" s="60" t="n"/>
      <c r="J16" s="60" t="n"/>
      <c r="K16" s="60" t="n"/>
    </row>
    <row r="17">
      <c r="A17" s="60" t="n"/>
      <c r="B17" s="60" t="n"/>
      <c r="C17" s="60" t="n"/>
      <c r="D17" s="60" t="n"/>
      <c r="E17" s="60" t="n"/>
      <c r="F17" s="60" t="n"/>
      <c r="G17" s="60" t="n"/>
      <c r="H17" s="60" t="n"/>
      <c r="I17" s="60" t="n"/>
      <c r="J17" s="60" t="n"/>
      <c r="K17" s="60" t="n"/>
    </row>
    <row r="18">
      <c r="A18" s="60" t="n"/>
      <c r="B18" s="60" t="n"/>
      <c r="C18" s="60" t="n"/>
      <c r="D18" s="60" t="n"/>
      <c r="E18" s="60" t="n"/>
      <c r="F18" s="60" t="n"/>
      <c r="G18" s="60" t="n"/>
      <c r="H18" s="60" t="n"/>
      <c r="I18" s="60" t="n"/>
      <c r="J18" s="60" t="n"/>
      <c r="K18" s="60" t="n"/>
    </row>
    <row r="19">
      <c r="A19" s="60" t="n"/>
      <c r="B19" s="60" t="n"/>
      <c r="C19" s="60" t="n"/>
      <c r="D19" s="60" t="n"/>
      <c r="E19" s="60" t="n"/>
      <c r="F19" s="60" t="n"/>
      <c r="G19" s="60" t="n"/>
      <c r="H19" s="60" t="n"/>
      <c r="I19" s="60" t="n"/>
      <c r="J19" s="60" t="n"/>
      <c r="K19" s="60" t="n"/>
    </row>
  </sheetData>
  <mergeCells count="1">
    <mergeCell ref="A1:K1"/>
  </mergeCells>
  <conditionalFormatting sqref="D4:D1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4:E1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G4:G1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4:H19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4" t="inlineStr">
        <is>
          <t>ORGANIC VS PAID ANALYSIS</t>
        </is>
      </c>
    </row>
    <row r="2">
      <c r="A2" s="7" t="inlineStr">
        <is>
          <t>Requires Business Report data for Total Sales</t>
        </is>
      </c>
    </row>
    <row r="4">
      <c r="A4" s="25" t="inlineStr">
        <is>
          <t>PERIOD SUMMARY</t>
        </is>
      </c>
    </row>
    <row r="5">
      <c r="A5" s="65" t="inlineStr">
        <is>
          <t>Total Sales</t>
        </is>
      </c>
      <c r="B5" s="65" t="inlineStr">
        <is>
          <t>Ad Sales</t>
        </is>
      </c>
      <c r="C5" s="65" t="inlineStr">
        <is>
          <t>Organic Sales</t>
        </is>
      </c>
      <c r="D5" s="65" t="inlineStr">
        <is>
          <t>Ad %</t>
        </is>
      </c>
      <c r="E5" s="65" t="inlineStr">
        <is>
          <t>Organic %</t>
        </is>
      </c>
      <c r="F5" s="65" t="inlineStr">
        <is>
          <t>TACOS</t>
        </is>
      </c>
    </row>
    <row r="6">
      <c r="A6" s="23">
        <f>SUMIFS('Business Data'!B:B,'Business Data'!A:A,"&gt;="&amp;Settings!B6,'Business Data'!A:A,"&lt;="&amp;Settings!B7)</f>
        <v/>
      </c>
      <c r="B6" s="23">
        <f>SUMIFS('Campaign Data'!X:X,'Campaign Data'!A:A,"&gt;="&amp;Settings!B6,'Campaign Data'!A:A,"&lt;="&amp;Settings!B7)</f>
        <v/>
      </c>
      <c r="C6" s="23">
        <f>MAX(0,A6-B6)</f>
        <v/>
      </c>
      <c r="D6" s="24">
        <f>IF(A6&gt;0,B6/A6,0)</f>
        <v/>
      </c>
      <c r="E6" s="24">
        <f>IF(A6&gt;0,C6/A6,0)</f>
        <v/>
      </c>
      <c r="F6" s="24">
        <f>IF(A6&gt;0,SUMIFS('Campaign Data'!Q:Q,'Campaign Data'!A:A,"&gt;="&amp;Settings!B6,'Campaign Data'!A:A,"&lt;="&amp;Settings!B7)/A6,0)</f>
        <v/>
      </c>
    </row>
    <row r="9">
      <c r="A9" s="25" t="inlineStr">
        <is>
          <t>MONTHLY ORGANIC VS PAID</t>
        </is>
      </c>
    </row>
    <row r="10">
      <c r="A10" s="66" t="inlineStr">
        <is>
          <t>Month</t>
        </is>
      </c>
      <c r="B10" s="66" t="inlineStr">
        <is>
          <t>Total Sales</t>
        </is>
      </c>
      <c r="C10" s="66" t="inlineStr">
        <is>
          <t>Ad Sales</t>
        </is>
      </c>
      <c r="D10" s="66" t="inlineStr">
        <is>
          <t>Organic Sales</t>
        </is>
      </c>
      <c r="E10" s="66" t="inlineStr">
        <is>
          <t>Organic %</t>
        </is>
      </c>
      <c r="F10" s="66" t="inlineStr">
        <is>
          <t>Organic Chg</t>
        </is>
      </c>
      <c r="G10" s="66" t="inlineStr">
        <is>
          <t>Ad Sales Chg</t>
        </is>
      </c>
      <c r="H10" s="66" t="inlineStr">
        <is>
          <t>TACOS</t>
        </is>
      </c>
    </row>
    <row r="11">
      <c r="A11" s="60" t="n"/>
      <c r="B11" s="43" t="n"/>
      <c r="C11" s="43" t="n"/>
      <c r="D11" s="43" t="n"/>
      <c r="E11" s="45" t="n"/>
      <c r="F11" s="45" t="n"/>
      <c r="G11" s="45" t="n"/>
      <c r="H11" s="45" t="n"/>
    </row>
    <row r="12">
      <c r="A12" s="60" t="n"/>
      <c r="B12" s="43" t="n"/>
      <c r="C12" s="43" t="n"/>
      <c r="D12" s="43" t="n"/>
      <c r="E12" s="45" t="n"/>
      <c r="F12" s="45" t="n"/>
      <c r="G12" s="45" t="n"/>
      <c r="H12" s="45" t="n"/>
    </row>
    <row r="13">
      <c r="A13" s="60" t="n"/>
      <c r="B13" s="43" t="n"/>
      <c r="C13" s="43" t="n"/>
      <c r="D13" s="43" t="n"/>
      <c r="E13" s="45" t="n"/>
      <c r="F13" s="45" t="n"/>
      <c r="G13" s="45" t="n"/>
      <c r="H13" s="45" t="n"/>
    </row>
    <row r="14">
      <c r="A14" s="60" t="n"/>
      <c r="B14" s="43" t="n"/>
      <c r="C14" s="43" t="n"/>
      <c r="D14" s="43" t="n"/>
      <c r="E14" s="45" t="n"/>
      <c r="F14" s="45" t="n"/>
      <c r="G14" s="45" t="n"/>
      <c r="H14" s="45" t="n"/>
    </row>
    <row r="15">
      <c r="A15" s="60" t="n"/>
      <c r="B15" s="43" t="n"/>
      <c r="C15" s="43" t="n"/>
      <c r="D15" s="43" t="n"/>
      <c r="E15" s="45" t="n"/>
      <c r="F15" s="45" t="n"/>
      <c r="G15" s="45" t="n"/>
      <c r="H15" s="45" t="n"/>
    </row>
    <row r="16">
      <c r="A16" s="60" t="n"/>
      <c r="B16" s="43" t="n"/>
      <c r="C16" s="43" t="n"/>
      <c r="D16" s="43" t="n"/>
      <c r="E16" s="45" t="n"/>
      <c r="F16" s="45" t="n"/>
      <c r="G16" s="45" t="n"/>
      <c r="H16" s="45" t="n"/>
    </row>
    <row r="17">
      <c r="A17" s="60" t="n"/>
      <c r="B17" s="43" t="n"/>
      <c r="C17" s="43" t="n"/>
      <c r="D17" s="43" t="n"/>
      <c r="E17" s="45" t="n"/>
      <c r="F17" s="45" t="n"/>
      <c r="G17" s="45" t="n"/>
      <c r="H17" s="45" t="n"/>
    </row>
    <row r="18">
      <c r="A18" s="60" t="n"/>
      <c r="B18" s="43" t="n"/>
      <c r="C18" s="43" t="n"/>
      <c r="D18" s="43" t="n"/>
      <c r="E18" s="45" t="n"/>
      <c r="F18" s="45" t="n"/>
      <c r="G18" s="45" t="n"/>
      <c r="H18" s="45" t="n"/>
    </row>
    <row r="19">
      <c r="A19" s="60" t="n"/>
      <c r="B19" s="43" t="n"/>
      <c r="C19" s="43" t="n"/>
      <c r="D19" s="43" t="n"/>
      <c r="E19" s="45" t="n"/>
      <c r="F19" s="45" t="n"/>
      <c r="G19" s="45" t="n"/>
      <c r="H19" s="45" t="n"/>
    </row>
    <row r="20">
      <c r="A20" s="60" t="n"/>
      <c r="B20" s="43" t="n"/>
      <c r="C20" s="43" t="n"/>
      <c r="D20" s="43" t="n"/>
      <c r="E20" s="45" t="n"/>
      <c r="F20" s="45" t="n"/>
      <c r="G20" s="45" t="n"/>
      <c r="H20" s="45" t="n"/>
    </row>
    <row r="21">
      <c r="A21" s="60" t="n"/>
      <c r="B21" s="43" t="n"/>
      <c r="C21" s="43" t="n"/>
      <c r="D21" s="43" t="n"/>
      <c r="E21" s="45" t="n"/>
      <c r="F21" s="45" t="n"/>
      <c r="G21" s="45" t="n"/>
      <c r="H21" s="45" t="n"/>
    </row>
    <row r="22">
      <c r="A22" s="60" t="n"/>
      <c r="B22" s="43" t="n"/>
      <c r="C22" s="43" t="n"/>
      <c r="D22" s="43" t="n"/>
      <c r="E22" s="45" t="n"/>
      <c r="F22" s="45" t="n"/>
      <c r="G22" s="45" t="n"/>
      <c r="H22" s="45" t="n"/>
    </row>
  </sheetData>
  <mergeCells count="1">
    <mergeCell ref="A1:I1"/>
  </mergeCells>
  <conditionalFormatting sqref="F11:F2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G11:G22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7" t="inlineStr">
        <is>
          <t>JN PORTFOLIO ANALYSIS</t>
        </is>
      </c>
    </row>
    <row r="3">
      <c r="A3" s="25" t="inlineStr">
        <is>
          <t>PORTFOLIO SUMMARY</t>
        </is>
      </c>
    </row>
    <row r="4">
      <c r="A4" s="58" t="inlineStr">
        <is>
          <t>Spend</t>
        </is>
      </c>
      <c r="B4" s="58" t="inlineStr">
        <is>
          <t>Sales</t>
        </is>
      </c>
      <c r="C4" s="58" t="inlineStr">
        <is>
          <t>ROAS</t>
        </is>
      </c>
      <c r="D4" s="58" t="inlineStr">
        <is>
          <t>ACoS</t>
        </is>
      </c>
      <c r="E4" s="58" t="inlineStr">
        <is>
          <t>Orders</t>
        </is>
      </c>
      <c r="F4" s="58" t="inlineStr">
        <is>
          <t>Clicks</t>
        </is>
      </c>
      <c r="G4" s="58" t="inlineStr">
        <is>
          <t>CVR</t>
        </is>
      </c>
    </row>
    <row r="5">
      <c r="A5" s="23">
        <f>SUMIFS('Campaign Data'!Q:Q,'Campaign Data'!A:A,"&gt;="&amp;Settings!B6,'Campaign Data'!A:A,"&lt;="&amp;Settings!B7,'Campaign Data'!Y:Y,"JN")</f>
        <v/>
      </c>
      <c r="B5" s="23">
        <f>SUMIFS('Campaign Data'!X:X,'Campaign Data'!A:A,"&gt;="&amp;Settings!B6,'Campaign Data'!A:A,"&lt;="&amp;Settings!B7,'Campaign Data'!Y:Y,"JN")</f>
        <v/>
      </c>
      <c r="C5" s="68">
        <f>IF(A5&gt;0,B5/A5,0)</f>
        <v/>
      </c>
      <c r="D5" s="24">
        <f>IF(B5&gt;0,A5/B5,0)</f>
        <v/>
      </c>
      <c r="E5" s="69">
        <f>SUMIFS('Campaign Data'!U:U,'Campaign Data'!A:A,"&gt;="&amp;Settings!B6,'Campaign Data'!A:A,"&lt;="&amp;Settings!B7,'Campaign Data'!Y:Y,"JN")</f>
        <v/>
      </c>
      <c r="F5" s="69">
        <f>SUMIFS('Campaign Data'!N:N,'Campaign Data'!A:A,"&gt;="&amp;Settings!B6,'Campaign Data'!A:A,"&lt;="&amp;Settings!B7,'Campaign Data'!Y:Y,"JN")</f>
        <v/>
      </c>
      <c r="G5" s="70">
        <f>IF(F5&gt;0,E5/F5,0)</f>
        <v/>
      </c>
    </row>
    <row r="8">
      <c r="A8" s="25" t="inlineStr">
        <is>
          <t>SEGMENT BREAKDOWN</t>
        </is>
      </c>
    </row>
    <row r="9">
      <c r="A9" s="58" t="inlineStr">
        <is>
          <t>Segment</t>
        </is>
      </c>
      <c r="B9" s="58" t="inlineStr">
        <is>
          <t>Spend</t>
        </is>
      </c>
      <c r="C9" s="58" t="inlineStr">
        <is>
          <t>Sales</t>
        </is>
      </c>
      <c r="D9" s="58" t="inlineStr">
        <is>
          <t>ROAS</t>
        </is>
      </c>
      <c r="E9" s="58" t="inlineStr">
        <is>
          <t>ACoS</t>
        </is>
      </c>
    </row>
    <row r="10">
      <c r="A10" s="54" t="inlineStr">
        <is>
          <t>Branded</t>
        </is>
      </c>
      <c r="B10" s="49">
        <f>SUMIFS('Campaign Data'!Q:Q,'Campaign Data'!A:A,"&gt;="&amp;Settings!B6,'Campaign Data'!A:A,"&lt;="&amp;Settings!B7,'Campaign Data'!Y:Y,"JN",'Campaign Data'!Z:Z,"Branded")</f>
        <v/>
      </c>
      <c r="C10" s="49">
        <f>SUMIFS('Campaign Data'!X:X,'Campaign Data'!A:A,"&gt;="&amp;Settings!B6,'Campaign Data'!A:A,"&lt;="&amp;Settings!B7,'Campaign Data'!Y:Y,"JN",'Campaign Data'!Z:Z,"Branded")</f>
        <v/>
      </c>
      <c r="D10" s="51">
        <f>IF(B10&gt;0,C10/B10,0)</f>
        <v/>
      </c>
      <c r="E10" s="50">
        <f>IF(C10&gt;0,B10/C10,0)</f>
        <v/>
      </c>
    </row>
    <row r="11">
      <c r="A11" s="54" t="inlineStr">
        <is>
          <t>Competitor</t>
        </is>
      </c>
      <c r="B11" s="49">
        <f>SUMIFS('Campaign Data'!Q:Q,'Campaign Data'!A:A,"&gt;="&amp;Settings!B6,'Campaign Data'!A:A,"&lt;="&amp;Settings!B7,'Campaign Data'!Y:Y,"JN",'Campaign Data'!Z:Z,"Competitor")</f>
        <v/>
      </c>
      <c r="C11" s="49">
        <f>SUMIFS('Campaign Data'!X:X,'Campaign Data'!A:A,"&gt;="&amp;Settings!B6,'Campaign Data'!A:A,"&lt;="&amp;Settings!B7,'Campaign Data'!Y:Y,"JN",'Campaign Data'!Z:Z,"Competitor")</f>
        <v/>
      </c>
      <c r="D11" s="51">
        <f>IF(B11&gt;0,C11/B11,0)</f>
        <v/>
      </c>
      <c r="E11" s="50">
        <f>IF(C11&gt;0,B11/C11,0)</f>
        <v/>
      </c>
    </row>
    <row r="12">
      <c r="A12" s="54" t="inlineStr">
        <is>
          <t>Non-Branded</t>
        </is>
      </c>
      <c r="B12" s="49">
        <f>SUMIFS('Campaign Data'!Q:Q,'Campaign Data'!A:A,"&gt;="&amp;Settings!B6,'Campaign Data'!A:A,"&lt;="&amp;Settings!B7,'Campaign Data'!Y:Y,"JN",'Campaign Data'!Z:Z,"Non-Branded")</f>
        <v/>
      </c>
      <c r="C12" s="49">
        <f>SUMIFS('Campaign Data'!X:X,'Campaign Data'!A:A,"&gt;="&amp;Settings!B6,'Campaign Data'!A:A,"&lt;="&amp;Settings!B7,'Campaign Data'!Y:Y,"JN",'Campaign Data'!Z:Z,"Non-Branded")</f>
        <v/>
      </c>
      <c r="D12" s="51">
        <f>IF(B12&gt;0,C12/B12,0)</f>
        <v/>
      </c>
      <c r="E12" s="50">
        <f>IF(C12&gt;0,B12/C12,0)</f>
        <v/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71" t="inlineStr">
        <is>
          <t>Non-JN PORTFOLIO ANALYSIS</t>
        </is>
      </c>
    </row>
    <row r="3">
      <c r="A3" s="25" t="inlineStr">
        <is>
          <t>PORTFOLIO SUMMARY</t>
        </is>
      </c>
    </row>
    <row r="4">
      <c r="A4" s="59" t="inlineStr">
        <is>
          <t>Spend</t>
        </is>
      </c>
      <c r="B4" s="59" t="inlineStr">
        <is>
          <t>Sales</t>
        </is>
      </c>
      <c r="C4" s="59" t="inlineStr">
        <is>
          <t>ROAS</t>
        </is>
      </c>
      <c r="D4" s="59" t="inlineStr">
        <is>
          <t>ACoS</t>
        </is>
      </c>
      <c r="E4" s="59" t="inlineStr">
        <is>
          <t>Orders</t>
        </is>
      </c>
      <c r="F4" s="59" t="inlineStr">
        <is>
          <t>Clicks</t>
        </is>
      </c>
      <c r="G4" s="59" t="inlineStr">
        <is>
          <t>CVR</t>
        </is>
      </c>
    </row>
    <row r="5">
      <c r="A5" s="23">
        <f>SUMIFS('Campaign Data'!Q:Q,'Campaign Data'!A:A,"&gt;="&amp;Settings!B6,'Campaign Data'!A:A,"&lt;="&amp;Settings!B7,'Campaign Data'!Y:Y,"Non-JN")</f>
        <v/>
      </c>
      <c r="B5" s="23">
        <f>SUMIFS('Campaign Data'!X:X,'Campaign Data'!A:A,"&gt;="&amp;Settings!B6,'Campaign Data'!A:A,"&lt;="&amp;Settings!B7,'Campaign Data'!Y:Y,"Non-JN")</f>
        <v/>
      </c>
      <c r="C5" s="68">
        <f>IF(A5&gt;0,B5/A5,0)</f>
        <v/>
      </c>
      <c r="D5" s="24">
        <f>IF(B5&gt;0,A5/B5,0)</f>
        <v/>
      </c>
      <c r="E5" s="69">
        <f>SUMIFS('Campaign Data'!U:U,'Campaign Data'!A:A,"&gt;="&amp;Settings!B6,'Campaign Data'!A:A,"&lt;="&amp;Settings!B7,'Campaign Data'!Y:Y,"Non-JN")</f>
        <v/>
      </c>
      <c r="F5" s="69">
        <f>SUMIFS('Campaign Data'!N:N,'Campaign Data'!A:A,"&gt;="&amp;Settings!B6,'Campaign Data'!A:A,"&lt;="&amp;Settings!B7,'Campaign Data'!Y:Y,"Non-JN")</f>
        <v/>
      </c>
      <c r="G5" s="70">
        <f>IF(F5&gt;0,E5/F5,0)</f>
        <v/>
      </c>
    </row>
    <row r="8">
      <c r="A8" s="25" t="inlineStr">
        <is>
          <t>SEGMENT BREAKDOWN</t>
        </is>
      </c>
    </row>
    <row r="9">
      <c r="A9" s="59" t="inlineStr">
        <is>
          <t>Segment</t>
        </is>
      </c>
      <c r="B9" s="59" t="inlineStr">
        <is>
          <t>Spend</t>
        </is>
      </c>
      <c r="C9" s="59" t="inlineStr">
        <is>
          <t>Sales</t>
        </is>
      </c>
      <c r="D9" s="59" t="inlineStr">
        <is>
          <t>ROAS</t>
        </is>
      </c>
      <c r="E9" s="59" t="inlineStr">
        <is>
          <t>ACoS</t>
        </is>
      </c>
    </row>
    <row r="10">
      <c r="A10" s="54" t="inlineStr">
        <is>
          <t>Branded</t>
        </is>
      </c>
      <c r="B10" s="49">
        <f>SUMIFS('Campaign Data'!Q:Q,'Campaign Data'!A:A,"&gt;="&amp;Settings!B6,'Campaign Data'!A:A,"&lt;="&amp;Settings!B7,'Campaign Data'!Y:Y,"Non-JN",'Campaign Data'!Z:Z,"Branded")</f>
        <v/>
      </c>
      <c r="C10" s="49">
        <f>SUMIFS('Campaign Data'!X:X,'Campaign Data'!A:A,"&gt;="&amp;Settings!B6,'Campaign Data'!A:A,"&lt;="&amp;Settings!B7,'Campaign Data'!Y:Y,"Non-JN",'Campaign Data'!Z:Z,"Branded")</f>
        <v/>
      </c>
      <c r="D10" s="51">
        <f>IF(B10&gt;0,C10/B10,0)</f>
        <v/>
      </c>
      <c r="E10" s="50">
        <f>IF(C10&gt;0,B10/C10,0)</f>
        <v/>
      </c>
    </row>
    <row r="11">
      <c r="A11" s="54" t="inlineStr">
        <is>
          <t>Competitor</t>
        </is>
      </c>
      <c r="B11" s="49">
        <f>SUMIFS('Campaign Data'!Q:Q,'Campaign Data'!A:A,"&gt;="&amp;Settings!B6,'Campaign Data'!A:A,"&lt;="&amp;Settings!B7,'Campaign Data'!Y:Y,"Non-JN",'Campaign Data'!Z:Z,"Competitor")</f>
        <v/>
      </c>
      <c r="C11" s="49">
        <f>SUMIFS('Campaign Data'!X:X,'Campaign Data'!A:A,"&gt;="&amp;Settings!B6,'Campaign Data'!A:A,"&lt;="&amp;Settings!B7,'Campaign Data'!Y:Y,"Non-JN",'Campaign Data'!Z:Z,"Competitor")</f>
        <v/>
      </c>
      <c r="D11" s="51">
        <f>IF(B11&gt;0,C11/B11,0)</f>
        <v/>
      </c>
      <c r="E11" s="50">
        <f>IF(C11&gt;0,B11/C11,0)</f>
        <v/>
      </c>
    </row>
    <row r="12">
      <c r="A12" s="54" t="inlineStr">
        <is>
          <t>Non-Branded</t>
        </is>
      </c>
      <c r="B12" s="49">
        <f>SUMIFS('Campaign Data'!Q:Q,'Campaign Data'!A:A,"&gt;="&amp;Settings!B6,'Campaign Data'!A:A,"&lt;="&amp;Settings!B7,'Campaign Data'!Y:Y,"Non-JN",'Campaign Data'!Z:Z,"Non-Branded")</f>
        <v/>
      </c>
      <c r="C12" s="49">
        <f>SUMIFS('Campaign Data'!X:X,'Campaign Data'!A:A,"&gt;="&amp;Settings!B6,'Campaign Data'!A:A,"&lt;="&amp;Settings!B7,'Campaign Data'!Y:Y,"Non-JN",'Campaign Data'!Z:Z,"Non-Branded")</f>
        <v/>
      </c>
      <c r="D12" s="51">
        <f>IF(B12&gt;0,C12/B12,0)</f>
        <v/>
      </c>
      <c r="E12" s="50">
        <f>IF(C12&gt;0,B12/C12,0)</f>
        <v/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SPEND BY MONTH &amp; PORTFOLIO TYPE</t>
        </is>
      </c>
    </row>
    <row r="3">
      <c r="A3" s="5" t="inlineStr">
        <is>
          <t>Month</t>
        </is>
      </c>
      <c r="B3" s="58" t="inlineStr">
        <is>
          <t>JN</t>
        </is>
      </c>
      <c r="C3" s="59" t="inlineStr">
        <is>
          <t>Non-JN</t>
        </is>
      </c>
      <c r="D3" s="5" t="inlineStr">
        <is>
          <t>Total</t>
        </is>
      </c>
    </row>
    <row r="4">
      <c r="A4" s="29" t="n"/>
      <c r="B4" s="49" t="n"/>
      <c r="C4" s="49" t="n"/>
      <c r="D4" s="49" t="n"/>
    </row>
    <row r="5">
      <c r="A5" s="29" t="n"/>
      <c r="B5" s="49" t="n"/>
      <c r="C5" s="49" t="n"/>
      <c r="D5" s="49" t="n"/>
    </row>
    <row r="6">
      <c r="A6" s="29" t="n"/>
      <c r="B6" s="49" t="n"/>
      <c r="C6" s="49" t="n"/>
      <c r="D6" s="49" t="n"/>
    </row>
    <row r="7">
      <c r="A7" s="29" t="n"/>
      <c r="B7" s="49" t="n"/>
      <c r="C7" s="49" t="n"/>
      <c r="D7" s="49" t="n"/>
    </row>
    <row r="8">
      <c r="A8" s="29" t="n"/>
      <c r="B8" s="49" t="n"/>
      <c r="C8" s="49" t="n"/>
      <c r="D8" s="49" t="n"/>
    </row>
    <row r="9">
      <c r="A9" s="29" t="n"/>
      <c r="B9" s="49" t="n"/>
      <c r="C9" s="49" t="n"/>
      <c r="D9" s="49" t="n"/>
    </row>
    <row r="10">
      <c r="A10" s="29" t="n"/>
      <c r="B10" s="49" t="n"/>
      <c r="C10" s="49" t="n"/>
      <c r="D10" s="49" t="n"/>
    </row>
    <row r="11">
      <c r="A11" s="29" t="n"/>
      <c r="B11" s="49" t="n"/>
      <c r="C11" s="49" t="n"/>
      <c r="D11" s="49" t="n"/>
    </row>
    <row r="12">
      <c r="A12" s="29" t="n"/>
      <c r="B12" s="49" t="n"/>
      <c r="C12" s="49" t="n"/>
      <c r="D12" s="49" t="n"/>
    </row>
    <row r="13">
      <c r="A13" s="29" t="n"/>
      <c r="B13" s="49" t="n"/>
      <c r="C13" s="49" t="n"/>
      <c r="D13" s="49" t="n"/>
    </row>
    <row r="14">
      <c r="A14" s="29" t="n"/>
      <c r="B14" s="49" t="n"/>
      <c r="C14" s="49" t="n"/>
      <c r="D14" s="49" t="n"/>
    </row>
    <row r="15">
      <c r="A15" s="29" t="n"/>
      <c r="B15" s="49" t="n"/>
      <c r="C15" s="49" t="n"/>
      <c r="D15" s="49" t="n"/>
    </row>
    <row r="18">
      <c r="A18" s="72" t="inlineStr">
        <is>
          <t>AD SALES BY MONTH &amp; PORTFOLIO TYPE</t>
        </is>
      </c>
    </row>
    <row r="20">
      <c r="A20" s="5" t="inlineStr">
        <is>
          <t>Month</t>
        </is>
      </c>
      <c r="B20" s="58" t="inlineStr">
        <is>
          <t>JN</t>
        </is>
      </c>
      <c r="C20" s="59" t="inlineStr">
        <is>
          <t>Non-JN</t>
        </is>
      </c>
      <c r="D20" s="5" t="inlineStr">
        <is>
          <t>Total</t>
        </is>
      </c>
    </row>
    <row r="21">
      <c r="A21" s="29" t="n"/>
      <c r="B21" s="49" t="n"/>
      <c r="C21" s="49" t="n"/>
      <c r="D21" s="49" t="n"/>
    </row>
    <row r="22">
      <c r="A22" s="29" t="n"/>
      <c r="B22" s="49" t="n"/>
      <c r="C22" s="49" t="n"/>
      <c r="D22" s="49" t="n"/>
    </row>
    <row r="23">
      <c r="A23" s="29" t="n"/>
      <c r="B23" s="49" t="n"/>
      <c r="C23" s="49" t="n"/>
      <c r="D23" s="49" t="n"/>
    </row>
    <row r="24">
      <c r="A24" s="29" t="n"/>
      <c r="B24" s="49" t="n"/>
      <c r="C24" s="49" t="n"/>
      <c r="D24" s="49" t="n"/>
    </row>
    <row r="25">
      <c r="A25" s="29" t="n"/>
      <c r="B25" s="49" t="n"/>
      <c r="C25" s="49" t="n"/>
      <c r="D25" s="49" t="n"/>
    </row>
    <row r="26">
      <c r="A26" s="29" t="n"/>
      <c r="B26" s="49" t="n"/>
      <c r="C26" s="49" t="n"/>
      <c r="D26" s="49" t="n"/>
    </row>
    <row r="27">
      <c r="A27" s="29" t="n"/>
      <c r="B27" s="49" t="n"/>
      <c r="C27" s="49" t="n"/>
      <c r="D27" s="49" t="n"/>
    </row>
    <row r="28">
      <c r="A28" s="29" t="n"/>
      <c r="B28" s="49" t="n"/>
      <c r="C28" s="49" t="n"/>
      <c r="D28" s="49" t="n"/>
    </row>
    <row r="29">
      <c r="A29" s="29" t="n"/>
      <c r="B29" s="49" t="n"/>
      <c r="C29" s="49" t="n"/>
      <c r="D29" s="49" t="n"/>
    </row>
    <row r="30">
      <c r="A30" s="29" t="n"/>
      <c r="B30" s="49" t="n"/>
      <c r="C30" s="49" t="n"/>
      <c r="D30" s="49" t="n"/>
    </row>
    <row r="31">
      <c r="A31" s="29" t="n"/>
      <c r="B31" s="49" t="n"/>
      <c r="C31" s="49" t="n"/>
      <c r="D31" s="49" t="n"/>
    </row>
    <row r="32">
      <c r="A32" s="29" t="n"/>
      <c r="B32" s="49" t="n"/>
      <c r="C32" s="49" t="n"/>
      <c r="D32" s="49" t="n"/>
    </row>
    <row r="35">
      <c r="A35" s="73" t="inlineStr">
        <is>
          <t>ROAS BY MONTH &amp; PORTFOLIO TYPE</t>
        </is>
      </c>
    </row>
    <row r="37">
      <c r="A37" s="65" t="inlineStr">
        <is>
          <t>Month</t>
        </is>
      </c>
      <c r="B37" s="65" t="inlineStr">
        <is>
          <t>JN</t>
        </is>
      </c>
      <c r="C37" s="65" t="inlineStr">
        <is>
          <t>Non-JN</t>
        </is>
      </c>
      <c r="D37" s="65" t="inlineStr">
        <is>
          <t>Total</t>
        </is>
      </c>
    </row>
    <row r="38">
      <c r="A38" s="29" t="n"/>
      <c r="B38" s="51" t="n"/>
      <c r="C38" s="51" t="n"/>
      <c r="D38" s="51" t="n"/>
    </row>
    <row r="39">
      <c r="A39" s="29" t="n"/>
      <c r="B39" s="51" t="n"/>
      <c r="C39" s="51" t="n"/>
      <c r="D39" s="51" t="n"/>
    </row>
    <row r="40">
      <c r="A40" s="29" t="n"/>
      <c r="B40" s="51" t="n"/>
      <c r="C40" s="51" t="n"/>
      <c r="D40" s="51" t="n"/>
    </row>
    <row r="41">
      <c r="A41" s="29" t="n"/>
      <c r="B41" s="51" t="n"/>
      <c r="C41" s="51" t="n"/>
      <c r="D41" s="51" t="n"/>
    </row>
    <row r="42">
      <c r="A42" s="29" t="n"/>
      <c r="B42" s="51" t="n"/>
      <c r="C42" s="51" t="n"/>
      <c r="D42" s="51" t="n"/>
    </row>
    <row r="43">
      <c r="A43" s="29" t="n"/>
      <c r="B43" s="51" t="n"/>
      <c r="C43" s="51" t="n"/>
      <c r="D43" s="51" t="n"/>
    </row>
    <row r="44">
      <c r="A44" s="29" t="n"/>
      <c r="B44" s="51" t="n"/>
      <c r="C44" s="51" t="n"/>
      <c r="D44" s="51" t="n"/>
    </row>
    <row r="45">
      <c r="A45" s="29" t="n"/>
      <c r="B45" s="51" t="n"/>
      <c r="C45" s="51" t="n"/>
      <c r="D45" s="51" t="n"/>
    </row>
    <row r="46">
      <c r="A46" s="29" t="n"/>
      <c r="B46" s="51" t="n"/>
      <c r="C46" s="51" t="n"/>
      <c r="D46" s="51" t="n"/>
    </row>
    <row r="47">
      <c r="A47" s="29" t="n"/>
      <c r="B47" s="51" t="n"/>
      <c r="C47" s="51" t="n"/>
      <c r="D47" s="51" t="n"/>
    </row>
    <row r="48">
      <c r="A48" s="29" t="n"/>
      <c r="B48" s="51" t="n"/>
      <c r="C48" s="51" t="n"/>
      <c r="D48" s="51" t="n"/>
    </row>
    <row r="49">
      <c r="A49" s="29" t="n"/>
      <c r="B49" s="51" t="n"/>
      <c r="C49" s="51" t="n"/>
      <c r="D49" s="51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SPEND BY MONTH &amp; SEGMENT</t>
        </is>
      </c>
    </row>
    <row r="3">
      <c r="A3" s="5" t="inlineStr">
        <is>
          <t>Month</t>
        </is>
      </c>
      <c r="B3" s="65" t="inlineStr">
        <is>
          <t>Branded</t>
        </is>
      </c>
      <c r="C3" s="66" t="inlineStr">
        <is>
          <t>Competitor</t>
        </is>
      </c>
      <c r="D3" s="74" t="inlineStr">
        <is>
          <t>Non-Branded</t>
        </is>
      </c>
      <c r="E3" s="5" t="inlineStr">
        <is>
          <t>Total</t>
        </is>
      </c>
    </row>
    <row r="4">
      <c r="A4" s="29" t="n"/>
      <c r="B4" s="49" t="n"/>
      <c r="C4" s="49" t="n"/>
      <c r="D4" s="49" t="n"/>
      <c r="E4" s="49" t="n"/>
    </row>
    <row r="5">
      <c r="A5" s="29" t="n"/>
      <c r="B5" s="49" t="n"/>
      <c r="C5" s="49" t="n"/>
      <c r="D5" s="49" t="n"/>
      <c r="E5" s="49" t="n"/>
    </row>
    <row r="6">
      <c r="A6" s="29" t="n"/>
      <c r="B6" s="49" t="n"/>
      <c r="C6" s="49" t="n"/>
      <c r="D6" s="49" t="n"/>
      <c r="E6" s="49" t="n"/>
    </row>
    <row r="7">
      <c r="A7" s="29" t="n"/>
      <c r="B7" s="49" t="n"/>
      <c r="C7" s="49" t="n"/>
      <c r="D7" s="49" t="n"/>
      <c r="E7" s="49" t="n"/>
    </row>
    <row r="8">
      <c r="A8" s="29" t="n"/>
      <c r="B8" s="49" t="n"/>
      <c r="C8" s="49" t="n"/>
      <c r="D8" s="49" t="n"/>
      <c r="E8" s="49" t="n"/>
    </row>
    <row r="9">
      <c r="A9" s="29" t="n"/>
      <c r="B9" s="49" t="n"/>
      <c r="C9" s="49" t="n"/>
      <c r="D9" s="49" t="n"/>
      <c r="E9" s="49" t="n"/>
    </row>
    <row r="10">
      <c r="A10" s="29" t="n"/>
      <c r="B10" s="49" t="n"/>
      <c r="C10" s="49" t="n"/>
      <c r="D10" s="49" t="n"/>
      <c r="E10" s="49" t="n"/>
    </row>
    <row r="11">
      <c r="A11" s="29" t="n"/>
      <c r="B11" s="49" t="n"/>
      <c r="C11" s="49" t="n"/>
      <c r="D11" s="49" t="n"/>
      <c r="E11" s="49" t="n"/>
    </row>
    <row r="12">
      <c r="A12" s="29" t="n"/>
      <c r="B12" s="49" t="n"/>
      <c r="C12" s="49" t="n"/>
      <c r="D12" s="49" t="n"/>
      <c r="E12" s="49" t="n"/>
    </row>
    <row r="13">
      <c r="A13" s="29" t="n"/>
      <c r="B13" s="49" t="n"/>
      <c r="C13" s="49" t="n"/>
      <c r="D13" s="49" t="n"/>
      <c r="E13" s="49" t="n"/>
    </row>
    <row r="14">
      <c r="A14" s="29" t="n"/>
      <c r="B14" s="49" t="n"/>
      <c r="C14" s="49" t="n"/>
      <c r="D14" s="49" t="n"/>
      <c r="E14" s="49" t="n"/>
    </row>
    <row r="15">
      <c r="A15" s="29" t="n"/>
      <c r="B15" s="49" t="n"/>
      <c r="C15" s="49" t="n"/>
      <c r="D15" s="49" t="n"/>
      <c r="E15" s="49" t="n"/>
    </row>
    <row r="18">
      <c r="A18" s="72" t="inlineStr">
        <is>
          <t>AD SALES BY MONTH &amp; SEGMENT</t>
        </is>
      </c>
    </row>
    <row r="20">
      <c r="A20" s="5" t="inlineStr">
        <is>
          <t>Month</t>
        </is>
      </c>
      <c r="B20" s="65" t="inlineStr">
        <is>
          <t>Branded</t>
        </is>
      </c>
      <c r="C20" s="66" t="inlineStr">
        <is>
          <t>Competitor</t>
        </is>
      </c>
      <c r="D20" s="74" t="inlineStr">
        <is>
          <t>Non-Branded</t>
        </is>
      </c>
      <c r="E20" s="5" t="inlineStr">
        <is>
          <t>Total</t>
        </is>
      </c>
    </row>
    <row r="21">
      <c r="A21" s="29" t="n"/>
      <c r="B21" s="49" t="n"/>
      <c r="C21" s="49" t="n"/>
      <c r="D21" s="49" t="n"/>
      <c r="E21" s="49" t="n"/>
    </row>
    <row r="22">
      <c r="A22" s="29" t="n"/>
      <c r="B22" s="49" t="n"/>
      <c r="C22" s="49" t="n"/>
      <c r="D22" s="49" t="n"/>
      <c r="E22" s="49" t="n"/>
    </row>
    <row r="23">
      <c r="A23" s="29" t="n"/>
      <c r="B23" s="49" t="n"/>
      <c r="C23" s="49" t="n"/>
      <c r="D23" s="49" t="n"/>
      <c r="E23" s="49" t="n"/>
    </row>
    <row r="24">
      <c r="A24" s="29" t="n"/>
      <c r="B24" s="49" t="n"/>
      <c r="C24" s="49" t="n"/>
      <c r="D24" s="49" t="n"/>
      <c r="E24" s="49" t="n"/>
    </row>
    <row r="25">
      <c r="A25" s="29" t="n"/>
      <c r="B25" s="49" t="n"/>
      <c r="C25" s="49" t="n"/>
      <c r="D25" s="49" t="n"/>
      <c r="E25" s="49" t="n"/>
    </row>
    <row r="26">
      <c r="A26" s="29" t="n"/>
      <c r="B26" s="49" t="n"/>
      <c r="C26" s="49" t="n"/>
      <c r="D26" s="49" t="n"/>
      <c r="E26" s="49" t="n"/>
    </row>
    <row r="27">
      <c r="A27" s="29" t="n"/>
      <c r="B27" s="49" t="n"/>
      <c r="C27" s="49" t="n"/>
      <c r="D27" s="49" t="n"/>
      <c r="E27" s="49" t="n"/>
    </row>
    <row r="28">
      <c r="A28" s="29" t="n"/>
      <c r="B28" s="49" t="n"/>
      <c r="C28" s="49" t="n"/>
      <c r="D28" s="49" t="n"/>
      <c r="E28" s="49" t="n"/>
    </row>
    <row r="29">
      <c r="A29" s="29" t="n"/>
      <c r="B29" s="49" t="n"/>
      <c r="C29" s="49" t="n"/>
      <c r="D29" s="49" t="n"/>
      <c r="E29" s="49" t="n"/>
    </row>
    <row r="30">
      <c r="A30" s="29" t="n"/>
      <c r="B30" s="49" t="n"/>
      <c r="C30" s="49" t="n"/>
      <c r="D30" s="49" t="n"/>
      <c r="E30" s="49" t="n"/>
    </row>
    <row r="31">
      <c r="A31" s="29" t="n"/>
      <c r="B31" s="49" t="n"/>
      <c r="C31" s="49" t="n"/>
      <c r="D31" s="49" t="n"/>
      <c r="E31" s="49" t="n"/>
    </row>
    <row r="32">
      <c r="A32" s="29" t="n"/>
      <c r="B32" s="49" t="n"/>
      <c r="C32" s="49" t="n"/>
      <c r="D32" s="49" t="n"/>
      <c r="E32" s="49" t="n"/>
    </row>
    <row r="35">
      <c r="A35" s="73" t="inlineStr">
        <is>
          <t>ROAS BY MONTH &amp; SEGMENT</t>
        </is>
      </c>
    </row>
    <row r="37">
      <c r="A37" s="65" t="inlineStr">
        <is>
          <t>Month</t>
        </is>
      </c>
      <c r="B37" s="65" t="inlineStr">
        <is>
          <t>Branded</t>
        </is>
      </c>
      <c r="C37" s="65" t="inlineStr">
        <is>
          <t>Competitor</t>
        </is>
      </c>
      <c r="D37" s="65" t="inlineStr">
        <is>
          <t>Non-Branded</t>
        </is>
      </c>
      <c r="E37" s="65" t="inlineStr">
        <is>
          <t>Total</t>
        </is>
      </c>
    </row>
    <row r="38">
      <c r="A38" s="29" t="n"/>
      <c r="B38" s="51" t="n"/>
      <c r="C38" s="51" t="n"/>
      <c r="D38" s="51" t="n"/>
      <c r="E38" s="51" t="n"/>
    </row>
    <row r="39">
      <c r="A39" s="29" t="n"/>
      <c r="B39" s="51" t="n"/>
      <c r="C39" s="51" t="n"/>
      <c r="D39" s="51" t="n"/>
      <c r="E39" s="51" t="n"/>
    </row>
    <row r="40">
      <c r="A40" s="29" t="n"/>
      <c r="B40" s="51" t="n"/>
      <c r="C40" s="51" t="n"/>
      <c r="D40" s="51" t="n"/>
      <c r="E40" s="51" t="n"/>
    </row>
    <row r="41">
      <c r="A41" s="29" t="n"/>
      <c r="B41" s="51" t="n"/>
      <c r="C41" s="51" t="n"/>
      <c r="D41" s="51" t="n"/>
      <c r="E41" s="51" t="n"/>
    </row>
    <row r="42">
      <c r="A42" s="29" t="n"/>
      <c r="B42" s="51" t="n"/>
      <c r="C42" s="51" t="n"/>
      <c r="D42" s="51" t="n"/>
      <c r="E42" s="51" t="n"/>
    </row>
    <row r="43">
      <c r="A43" s="29" t="n"/>
      <c r="B43" s="51" t="n"/>
      <c r="C43" s="51" t="n"/>
      <c r="D43" s="51" t="n"/>
      <c r="E43" s="51" t="n"/>
    </row>
    <row r="44">
      <c r="A44" s="29" t="n"/>
      <c r="B44" s="51" t="n"/>
      <c r="C44" s="51" t="n"/>
      <c r="D44" s="51" t="n"/>
      <c r="E44" s="51" t="n"/>
    </row>
    <row r="45">
      <c r="A45" s="29" t="n"/>
      <c r="B45" s="51" t="n"/>
      <c r="C45" s="51" t="n"/>
      <c r="D45" s="51" t="n"/>
      <c r="E45" s="51" t="n"/>
    </row>
    <row r="46">
      <c r="A46" s="29" t="n"/>
      <c r="B46" s="51" t="n"/>
      <c r="C46" s="51" t="n"/>
      <c r="D46" s="51" t="n"/>
      <c r="E46" s="51" t="n"/>
    </row>
    <row r="47">
      <c r="A47" s="29" t="n"/>
      <c r="B47" s="51" t="n"/>
      <c r="C47" s="51" t="n"/>
      <c r="D47" s="51" t="n"/>
      <c r="E47" s="51" t="n"/>
    </row>
    <row r="48">
      <c r="A48" s="29" t="n"/>
      <c r="B48" s="51" t="n"/>
      <c r="C48" s="51" t="n"/>
      <c r="D48" s="51" t="n"/>
      <c r="E48" s="51" t="n"/>
    </row>
    <row r="49">
      <c r="A49" s="29" t="n"/>
      <c r="B49" s="51" t="n"/>
      <c r="C49" s="51" t="n"/>
      <c r="D49" s="51" t="n"/>
      <c r="E49" s="51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50" customWidth="1" min="4" max="4"/>
    <col width="10" customWidth="1" min="5" max="5"/>
    <col width="12" customWidth="1" min="6" max="6"/>
    <col width="10" customWidth="1" min="7" max="7"/>
    <col width="8" customWidth="1" min="8" max="8"/>
    <col width="12" customWidth="1" min="9" max="9"/>
    <col width="16" customWidth="1" min="10" max="10"/>
    <col width="20" customWidth="1" min="11" max="11"/>
    <col width="12" customWidth="1" min="12" max="12"/>
    <col width="12" customWidth="1" min="13" max="13"/>
    <col width="10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4" customWidth="1" min="21" max="21"/>
    <col width="14" customWidth="1" min="22" max="22"/>
    <col width="14" customWidth="1" min="23" max="23"/>
    <col width="14" customWidth="1" min="24" max="24"/>
    <col width="12" customWidth="1" min="25" max="25"/>
    <col width="14" customWidth="1" min="26" max="26"/>
    <col width="12" customWidth="1" min="27" max="27"/>
    <col width="12" customWidth="1" min="28" max="28"/>
  </cols>
  <sheetData>
    <row r="1">
      <c r="A1" s="25" t="inlineStr">
        <is>
          <t>PASTE YOUR SPONSORED PRODUCTS CAMPAIGN REPORT DATA BELOW</t>
        </is>
      </c>
    </row>
    <row r="2">
      <c r="A2" s="7" t="inlineStr">
        <is>
          <t>Format: Copy all data including headers from your CSV export (row 4 shows expected columns)</t>
        </is>
      </c>
    </row>
    <row r="3">
      <c r="A3" s="75" t="inlineStr">
        <is>
          <t>Key columns: A=Date, B=Portfolio, D=Campaign, L=Impressions, N=Clicks, Q=Spend, X=Sales, U=Orders</t>
        </is>
      </c>
    </row>
    <row r="4">
      <c r="A4" s="5" t="inlineStr">
        <is>
          <t>Date</t>
        </is>
      </c>
      <c r="B4" s="5" t="inlineStr">
        <is>
          <t>Portfolio name</t>
        </is>
      </c>
      <c r="C4" s="5" t="inlineStr">
        <is>
          <t>Program Type</t>
        </is>
      </c>
      <c r="D4" s="5" t="inlineStr">
        <is>
          <t>Campaign Name</t>
        </is>
      </c>
      <c r="E4" s="5" t="inlineStr">
        <is>
          <t>Retailer</t>
        </is>
      </c>
      <c r="F4" s="5" t="inlineStr">
        <is>
          <t>Country</t>
        </is>
      </c>
      <c r="G4" s="5" t="inlineStr">
        <is>
          <t>Status</t>
        </is>
      </c>
      <c r="H4" s="5" t="inlineStr">
        <is>
          <t>Currency</t>
        </is>
      </c>
      <c r="I4" s="5" t="inlineStr">
        <is>
          <t>Budget Amount</t>
        </is>
      </c>
      <c r="J4" s="5" t="inlineStr">
        <is>
          <t>Targeting Type</t>
        </is>
      </c>
      <c r="K4" s="5" t="inlineStr">
        <is>
          <t>Bidding strategy</t>
        </is>
      </c>
      <c r="L4" s="5" t="inlineStr">
        <is>
          <t>Impressions</t>
        </is>
      </c>
      <c r="M4" s="5" t="inlineStr">
        <is>
          <t>Last Year Impressions</t>
        </is>
      </c>
      <c r="N4" s="5" t="inlineStr">
        <is>
          <t>Clicks</t>
        </is>
      </c>
      <c r="O4" s="5" t="inlineStr">
        <is>
          <t>Last Year Clicks</t>
        </is>
      </c>
      <c r="P4" s="5" t="inlineStr">
        <is>
          <t>Click-Thru Rate (CTR)</t>
        </is>
      </c>
      <c r="Q4" s="5" t="inlineStr">
        <is>
          <t>Spend</t>
        </is>
      </c>
      <c r="R4" s="5" t="inlineStr">
        <is>
          <t>Last Year Spend</t>
        </is>
      </c>
      <c r="S4" s="5" t="inlineStr">
        <is>
          <t>Cost Per Click (CPC)</t>
        </is>
      </c>
      <c r="T4" s="5" t="inlineStr">
        <is>
          <t>Last Year Cost Per Click (CPC)</t>
        </is>
      </c>
      <c r="U4" s="5" t="inlineStr">
        <is>
          <t>7 Day Total Orders (#)</t>
        </is>
      </c>
      <c r="V4" s="5" t="inlineStr">
        <is>
          <t xml:space="preserve">Total Advertising Cost of Sales (ACOS) </t>
        </is>
      </c>
      <c r="W4" s="5" t="inlineStr">
        <is>
          <t>Total Return on Advertising Spend (ROAS)</t>
        </is>
      </c>
      <c r="X4" s="5" t="inlineStr">
        <is>
          <t xml:space="preserve">7 Day Total Sales </t>
        </is>
      </c>
      <c r="Y4" s="5" t="inlineStr">
        <is>
          <t>Portfolio Type</t>
        </is>
      </c>
      <c r="Z4" s="5" t="inlineStr">
        <is>
          <t>Segment</t>
        </is>
      </c>
      <c r="AA4" s="5" t="inlineStr">
        <is>
          <t>Week</t>
        </is>
      </c>
      <c r="AB4" s="5" t="inlineStr">
        <is>
          <t>Month</t>
        </is>
      </c>
    </row>
  </sheetData>
  <mergeCells count="1">
    <mergeCell ref="A1:Z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8" customWidth="1" min="9" max="9"/>
    <col width="18" customWidth="1" min="10" max="10"/>
    <col width="18" customWidth="1" min="11" max="11"/>
    <col width="16" customWidth="1" min="12" max="12"/>
    <col width="16" customWidth="1" min="13" max="13"/>
    <col width="14" customWidth="1" min="14" max="14"/>
    <col width="14" customWidth="1" min="15" max="15"/>
    <col width="20" customWidth="1" min="16" max="16"/>
    <col width="20" customWidth="1" min="17" max="17"/>
    <col width="16" customWidth="1" min="18" max="18"/>
    <col width="12" customWidth="1" min="19" max="19"/>
    <col width="12" customWidth="1" min="20" max="20"/>
  </cols>
  <sheetData>
    <row r="1">
      <c r="A1" s="76" t="inlineStr">
        <is>
          <t>PASTE YOUR BUSINESS REPORT DATA BELOW</t>
        </is>
      </c>
    </row>
    <row r="2">
      <c r="A2" s="7" t="inlineStr">
        <is>
          <t>Required for TACOS calculation and Organic vs Paid analysis</t>
        </is>
      </c>
    </row>
    <row r="3">
      <c r="A3" s="77" t="inlineStr">
        <is>
          <t>Key columns: A=Date, B=Ordered Product Sales (Total Sales), D=Units Ordered, N=Sessions</t>
        </is>
      </c>
    </row>
    <row r="4">
      <c r="A4" s="66" t="inlineStr">
        <is>
          <t>Date</t>
        </is>
      </c>
      <c r="B4" s="66" t="inlineStr">
        <is>
          <t>Ordered Product Sales</t>
        </is>
      </c>
      <c r="C4" s="66" t="inlineStr">
        <is>
          <t>Ordered Product Sales - B2B</t>
        </is>
      </c>
      <c r="D4" s="66" t="inlineStr">
        <is>
          <t>Units Ordered</t>
        </is>
      </c>
      <c r="E4" s="66" t="inlineStr">
        <is>
          <t>Units Ordered - B2B</t>
        </is>
      </c>
      <c r="F4" s="66" t="inlineStr">
        <is>
          <t>Total Order Items</t>
        </is>
      </c>
      <c r="G4" s="66" t="inlineStr">
        <is>
          <t>Total Order Items - B2B</t>
        </is>
      </c>
      <c r="H4" s="66" t="inlineStr">
        <is>
          <t>Average Sales per Order Item</t>
        </is>
      </c>
      <c r="I4" s="66" t="inlineStr">
        <is>
          <t>Average Sales per Order Item - B2B</t>
        </is>
      </c>
      <c r="J4" s="66" t="inlineStr">
        <is>
          <t>Average Units per Order Item</t>
        </is>
      </c>
      <c r="K4" s="66" t="inlineStr">
        <is>
          <t>Average Units per Order Item - B2B</t>
        </is>
      </c>
      <c r="L4" s="66" t="inlineStr">
        <is>
          <t>Average Selling Price</t>
        </is>
      </c>
      <c r="M4" s="66" t="inlineStr">
        <is>
          <t>Average Selling Price - B2B</t>
        </is>
      </c>
      <c r="N4" s="66" t="inlineStr">
        <is>
          <t>Sessions - Total</t>
        </is>
      </c>
      <c r="O4" s="66" t="inlineStr">
        <is>
          <t>Sessions - Total - B2B</t>
        </is>
      </c>
      <c r="P4" s="66" t="inlineStr">
        <is>
          <t>Order Item Session Percentage</t>
        </is>
      </c>
      <c r="Q4" s="66" t="inlineStr">
        <is>
          <t>Order Item Session Percentage - B2B</t>
        </is>
      </c>
      <c r="R4" s="66" t="inlineStr">
        <is>
          <t>Average Offer Count</t>
        </is>
      </c>
      <c r="S4" s="66" t="inlineStr">
        <is>
          <t>Week</t>
        </is>
      </c>
      <c r="T4" s="66" t="inlineStr">
        <is>
          <t>Month</t>
        </is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2026-01-08T12:16:43Z</dcterms:created>
  <dcterms:modified xmlns:dcterms="http://purl.org/dc/terms/" xmlns:xsi="http://www.w3.org/2001/XMLSchema-instance" xsi:type="dcterms:W3CDTF">2026-01-08T12:16:43Z</dcterms:modified>
</cp:coreProperties>
</file>